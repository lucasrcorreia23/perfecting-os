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abela de Preços por Ti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Equipes" sheetId="4" state="visible" r:id="rId4"/>
    <sheet xmlns:r="http://schemas.openxmlformats.org/officeDocument/2006/relationships" name="Motor" sheetId="5" state="visible" r:id="rId5"/>
    <sheet xmlns:r="http://schemas.openxmlformats.org/officeDocument/2006/relationships" name="Custo da Inação" sheetId="6" state="visible" r:id="rId6"/>
    <sheet xmlns:r="http://schemas.openxmlformats.org/officeDocument/2006/relationships" name="Conta" sheetId="7" state="visible" r:id="rId7"/>
    <sheet xmlns:r="http://schemas.openxmlformats.org/officeDocument/2006/relationships" name="Comparação de Cenário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R$ &quot;#,##0"/>
    <numFmt numFmtId="165" formatCode="0.0%"/>
    <numFmt numFmtId="166" formatCode="&quot;R$ &quot;#,##0.00"/>
    <numFmt numFmtId="167" formatCode="0.00\x"/>
    <numFmt numFmtId="168" formatCode="0.0"/>
    <numFmt numFmtId="169" formatCode="#,##0.0"/>
  </numFmts>
  <fonts count="3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1B2A4A"/>
      <sz val="17"/>
    </font>
    <font>
      <name val="Calibri"/>
      <charset val="1"/>
      <family val="0"/>
      <i val="1"/>
      <color rgb="FF666666"/>
      <sz val="9"/>
    </font>
    <font>
      <name val="Cambria"/>
      <charset val="1"/>
      <family val="0"/>
      <i val="1"/>
      <color rgb="FF666666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mbria"/>
      <charset val="1"/>
      <family val="0"/>
      <b val="1"/>
      <color rgb="FF1B3A5C"/>
      <sz val="11"/>
    </font>
    <font>
      <name val="Cambria"/>
      <charset val="1"/>
      <family val="0"/>
      <b val="1"/>
      <color rgb="FF1B3A5C"/>
      <sz val="10"/>
    </font>
    <font>
      <name val="Cambria"/>
      <charset val="1"/>
      <family val="0"/>
      <color rgb="FF333333"/>
      <sz val="10"/>
    </font>
    <font>
      <name val="Georgia"/>
      <charset val="1"/>
      <family val="0"/>
      <b val="1"/>
      <color rgb="FFFFFFFF"/>
      <sz val="16"/>
    </font>
    <font>
      <name val="Calibri"/>
      <charset val="1"/>
      <family val="0"/>
      <i val="1"/>
      <color rgb="FF718096"/>
      <sz val="11"/>
    </font>
    <font>
      <name val="Calibri"/>
      <charset val="1"/>
      <family val="0"/>
      <b val="1"/>
      <color rgb="FF1B2A4A"/>
      <sz val="10"/>
    </font>
    <font>
      <name val="Georgia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A1A1A"/>
      <sz val="10"/>
    </font>
    <font>
      <name val="Calibri"/>
      <charset val="1"/>
      <family val="0"/>
      <b val="1"/>
      <color rgb="FF1B2A4A"/>
      <sz val="11"/>
    </font>
    <font>
      <name val="Calibri"/>
      <charset val="1"/>
      <family val="0"/>
      <color rgb="FF276749"/>
      <sz val="10"/>
    </font>
    <font>
      <name val="Cambria"/>
      <charset val="1"/>
      <family val="0"/>
      <color rgb="FF0000CC"/>
      <sz val="11"/>
    </font>
    <font>
      <name val="Calibri"/>
      <charset val="1"/>
      <family val="0"/>
      <color rgb="FF0000FF"/>
      <sz val="10"/>
    </font>
    <font>
      <name val="Georgia"/>
      <charset val="1"/>
      <family val="0"/>
      <b val="1"/>
      <color rgb="FF1B2A4A"/>
      <sz val="18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i val="1"/>
      <color rgb="FF475878"/>
      <sz val="9"/>
    </font>
    <font>
      <name val="Calibri"/>
      <charset val="1"/>
      <family val="0"/>
      <color rgb="FF008000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E86C00"/>
      <sz val="11"/>
    </font>
    <font>
      <name val="Calibri"/>
      <charset val="1"/>
      <family val="0"/>
      <b val="1"/>
      <color rgb="FFE86C00"/>
      <sz val="12"/>
    </font>
    <font>
      <name val="Calibri"/>
      <charset val="1"/>
      <family val="0"/>
      <b val="1"/>
      <color rgb="FFE86C00"/>
      <sz val="14"/>
    </font>
    <font>
      <name val="Calibri"/>
      <charset val="1"/>
      <family val="0"/>
      <b val="1"/>
      <i val="1"/>
      <color rgb="FFE86C00"/>
      <sz val="9"/>
    </font>
    <font>
      <name val="Calibri"/>
      <charset val="1"/>
      <family val="0"/>
      <color rgb="FF475878"/>
      <sz val="9"/>
    </font>
    <font>
      <name val="Calibri"/>
      <charset val="1"/>
      <family val="0"/>
      <b val="1"/>
      <color rgb="FF1B2A4A"/>
      <sz val="14"/>
    </font>
    <font>
      <name val="Calibri"/>
      <charset val="1"/>
      <family val="0"/>
      <b val="1"/>
      <color rgb="FF1B2A4A"/>
      <sz val="12"/>
    </font>
    <font>
      <name val="Cambria"/>
      <charset val="1"/>
      <family val="0"/>
      <b val="1"/>
      <color rgb="FF1B2A4A"/>
      <sz val="11"/>
    </font>
    <font>
      <name val="Calibri"/>
      <charset val="1"/>
      <family val="0"/>
      <b val="1"/>
      <color rgb="FFF57C0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B2A4A"/>
      <sz val="12"/>
    </font>
  </fonts>
  <fills count="13">
    <fill>
      <patternFill/>
    </fill>
    <fill>
      <patternFill patternType="gray125"/>
    </fill>
    <fill>
      <patternFill patternType="solid">
        <fgColor rgb="FFE8ECF1"/>
        <bgColor rgb="FFE8EAF0"/>
      </patternFill>
    </fill>
    <fill>
      <patternFill patternType="solid">
        <fgColor rgb="FF1B2A4A"/>
        <bgColor rgb="FF1B3A5C"/>
      </patternFill>
    </fill>
    <fill>
      <patternFill patternType="solid">
        <fgColor rgb="FF2D3748"/>
        <bgColor rgb="FF333333"/>
      </patternFill>
    </fill>
    <fill>
      <patternFill patternType="solid">
        <fgColor rgb="FFEDF2F7"/>
        <bgColor rgb="FFE8ECF1"/>
      </patternFill>
    </fill>
    <fill>
      <patternFill patternType="solid">
        <fgColor rgb="FFFFFFFF"/>
        <bgColor rgb="FFFFFDE7"/>
      </patternFill>
    </fill>
    <fill>
      <patternFill patternType="solid">
        <fgColor rgb="FFFFF9E6"/>
        <bgColor rgb="FFFFFDE7"/>
      </patternFill>
    </fill>
    <fill>
      <patternFill patternType="solid">
        <fgColor rgb="FFFFFDE7"/>
        <bgColor rgb="FFFFF9E6"/>
      </patternFill>
    </fill>
    <fill>
      <patternFill patternType="solid">
        <fgColor rgb="FFE8EAF0"/>
        <bgColor rgb="FFE8ECF1"/>
      </patternFill>
    </fill>
    <fill>
      <patternFill patternType="solid">
        <fgColor rgb="FF475878"/>
        <bgColor rgb="FF666666"/>
      </patternFill>
    </fill>
    <fill>
      <patternFill patternType="solid">
        <fgColor rgb="FFE86C00"/>
        <bgColor rgb="FFF57C00"/>
      </patternFill>
    </fill>
    <fill>
      <patternFill patternType="solid">
        <fgColor rgb="FFFFF3E0"/>
        <bgColor rgb="FFFFF9E6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/>
      <right style="thin"/>
      <top style="thin"/>
      <bottom style="thin"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medium">
        <color rgb="FF1B2A4A"/>
      </bottom>
      <diagonal/>
    </border>
    <border>
      <left/>
      <right/>
      <top/>
      <bottom style="thin">
        <color rgb="FFD1D1D1"/>
      </bottom>
      <diagonal/>
    </border>
    <border>
      <left style="thin"/>
      <right/>
      <top style="thin"/>
      <bottom style="thin"/>
      <diagonal/>
    </border>
    <border>
      <left/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/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16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165" fontId="19" fillId="6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16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 indent="1"/>
    </xf>
    <xf numFmtId="166" fontId="20" fillId="7" borderId="4" applyAlignment="1" pivotButton="0" quotePrefix="0" xfId="0">
      <alignment horizontal="right" vertical="center"/>
    </xf>
    <xf numFmtId="0" fontId="0" fillId="6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left" vertical="center" wrapText="1" indent="1"/>
    </xf>
    <xf numFmtId="3" fontId="20" fillId="7" borderId="4" applyAlignment="1" pivotButton="0" quotePrefix="0" xfId="0">
      <alignment horizontal="right" vertical="center"/>
    </xf>
    <xf numFmtId="167" fontId="20" fillId="7" borderId="4" applyAlignment="1" pivotButton="0" quotePrefix="0" xfId="0">
      <alignment horizontal="right" vertical="center"/>
    </xf>
    <xf numFmtId="165" fontId="20" fillId="7" borderId="4" applyAlignment="1" pivotButton="0" quotePrefix="0" xfId="0">
      <alignment horizontal="right" vertical="center"/>
    </xf>
    <xf numFmtId="164" fontId="20" fillId="7" borderId="4" applyAlignment="1" pivotButton="0" quotePrefix="0" xfId="0">
      <alignment horizontal="right" vertical="center"/>
    </xf>
    <xf numFmtId="0" fontId="21" fillId="8" borderId="3" applyAlignment="1" pivotButton="0" quotePrefix="0" xfId="0">
      <alignment horizontal="right" vertical="center"/>
    </xf>
    <xf numFmtId="168" fontId="20" fillId="7" borderId="4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 wrapText="1" indent="1"/>
    </xf>
    <xf numFmtId="165" fontId="8" fillId="6" borderId="3" applyAlignment="1" pivotButton="0" quotePrefix="0" xfId="0">
      <alignment horizontal="right" vertical="center"/>
    </xf>
    <xf numFmtId="168" fontId="8" fillId="6" borderId="3" applyAlignment="1" pivotButton="0" quotePrefix="0" xfId="0">
      <alignment horizontal="right" vertical="center"/>
    </xf>
    <xf numFmtId="165" fontId="21" fillId="8" borderId="3" applyAlignment="1" pivotButton="0" quotePrefix="0" xfId="0">
      <alignment horizontal="right" vertical="center"/>
    </xf>
    <xf numFmtId="168" fontId="21" fillId="8" borderId="3" applyAlignment="1" pivotButton="0" quotePrefix="0" xfId="0">
      <alignment horizontal="right" vertical="center"/>
    </xf>
    <xf numFmtId="0" fontId="7" fillId="3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20" fillId="7" borderId="4" applyAlignment="1" applyProtection="1" pivotButton="0" quotePrefix="0" xfId="0">
      <alignment horizontal="right" vertical="center"/>
      <protection locked="0" hidden="0"/>
    </xf>
    <xf numFmtId="0" fontId="0" fillId="6" borderId="3" applyAlignment="1" applyProtection="1" pivotButton="0" quotePrefix="0" xfId="0">
      <alignment horizontal="general" vertical="bottom"/>
      <protection locked="0" hidden="0"/>
    </xf>
    <xf numFmtId="3" fontId="21" fillId="8" borderId="3" applyAlignment="1" applyProtection="1" pivotButton="0" quotePrefix="0" xfId="0">
      <alignment horizontal="right" vertical="center"/>
      <protection locked="0" hidden="0"/>
    </xf>
    <xf numFmtId="169" fontId="21" fillId="8" borderId="3" applyAlignment="1" applyProtection="1" pivotButton="0" quotePrefix="0" xfId="0">
      <alignment horizontal="right" vertical="center"/>
      <protection locked="0" hidden="0"/>
    </xf>
    <xf numFmtId="164" fontId="21" fillId="8" borderId="3" applyAlignment="1" applyProtection="1" pivotButton="0" quotePrefix="0" xfId="0">
      <alignment horizontal="right" vertical="center"/>
      <protection locked="0" hidden="0"/>
    </xf>
    <xf numFmtId="0" fontId="21" fillId="8" borderId="3" applyAlignment="1" applyProtection="1" pivotButton="0" quotePrefix="0" xfId="0">
      <alignment horizontal="right" vertical="center"/>
      <protection locked="0" hidden="0"/>
    </xf>
    <xf numFmtId="3" fontId="20" fillId="7" borderId="4" applyAlignment="1" applyProtection="1" pivotButton="0" quotePrefix="0" xfId="0">
      <alignment horizontal="right" vertical="center"/>
      <protection locked="0" hidden="0"/>
    </xf>
    <xf numFmtId="169" fontId="20" fillId="7" borderId="4" applyAlignment="1" applyProtection="1" pivotButton="0" quotePrefix="0" xfId="0">
      <alignment horizontal="right" vertical="center"/>
      <protection locked="0" hidden="0"/>
    </xf>
    <xf numFmtId="164" fontId="20" fillId="7" borderId="4" applyAlignment="1" applyProtection="1" pivotButton="0" quotePrefix="0" xfId="0">
      <alignment horizontal="right" vertical="center"/>
      <protection locked="0" hidden="0"/>
    </xf>
    <xf numFmtId="165" fontId="20" fillId="7" borderId="4" applyAlignment="1" applyProtection="1" pivotButton="0" quotePrefix="0" xfId="0">
      <alignment horizontal="right" vertical="center"/>
      <protection locked="0" hidden="0"/>
    </xf>
    <xf numFmtId="165" fontId="21" fillId="8" borderId="3" applyAlignment="1" applyProtection="1" pivotButton="0" quotePrefix="0" xfId="0">
      <alignment horizontal="right" vertical="center"/>
      <protection locked="0" hidden="0"/>
    </xf>
    <xf numFmtId="168" fontId="21" fillId="8" borderId="3" applyAlignment="1" applyProtection="1" pivotButton="0" quotePrefix="0" xfId="0">
      <alignment horizontal="right" vertical="center"/>
      <protection locked="0" hidden="0"/>
    </xf>
    <xf numFmtId="0" fontId="8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right" vertical="center"/>
    </xf>
    <xf numFmtId="169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7" fontId="8" fillId="6" borderId="3" applyAlignment="1" pivotButton="0" quotePrefix="0" xfId="0">
      <alignment horizontal="right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 indent="1"/>
    </xf>
    <xf numFmtId="3" fontId="25" fillId="0" borderId="6" applyAlignment="1" pivotButton="0" quotePrefix="0" xfId="0">
      <alignment horizontal="right" vertical="center"/>
    </xf>
    <xf numFmtId="0" fontId="8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 indent="1"/>
    </xf>
    <xf numFmtId="165" fontId="8" fillId="0" borderId="6" applyAlignment="1" pivotButton="0" quotePrefix="0" xfId="0">
      <alignment horizontal="right" vertical="center"/>
    </xf>
    <xf numFmtId="3" fontId="8" fillId="0" borderId="6" applyAlignment="1" pivotButton="0" quotePrefix="0" xfId="0">
      <alignment horizontal="right" vertical="center"/>
    </xf>
    <xf numFmtId="2" fontId="21" fillId="0" borderId="6" applyAlignment="1" pivotButton="0" quotePrefix="0" xfId="0">
      <alignment horizontal="right" vertical="center"/>
    </xf>
    <xf numFmtId="2" fontId="8" fillId="0" borderId="6" applyAlignment="1" pivotButton="0" quotePrefix="0" xfId="0">
      <alignment horizontal="right" vertical="center"/>
    </xf>
    <xf numFmtId="168" fontId="25" fillId="0" borderId="6" applyAlignment="1" pivotButton="0" quotePrefix="0" xfId="0">
      <alignment horizontal="right" vertical="center"/>
    </xf>
    <xf numFmtId="168" fontId="21" fillId="0" borderId="6" applyAlignment="1" pivotButton="0" quotePrefix="0" xfId="0">
      <alignment horizontal="right" vertical="center"/>
    </xf>
    <xf numFmtId="168" fontId="8" fillId="0" borderId="6" applyAlignment="1" pivotButton="0" quotePrefix="0" xfId="0">
      <alignment horizontal="right" vertical="center"/>
    </xf>
    <xf numFmtId="169" fontId="25" fillId="0" borderId="6" applyAlignment="1" pivotButton="0" quotePrefix="0" xfId="0">
      <alignment horizontal="right" vertical="center"/>
    </xf>
    <xf numFmtId="169" fontId="8" fillId="0" borderId="6" applyAlignment="1" pivotButton="0" quotePrefix="0" xfId="0">
      <alignment horizontal="right" vertical="center"/>
    </xf>
    <xf numFmtId="9" fontId="8" fillId="0" borderId="6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wrapText="1" indent="1"/>
    </xf>
    <xf numFmtId="0" fontId="26" fillId="0" borderId="6" applyAlignment="1" pivotButton="0" quotePrefix="0" xfId="0">
      <alignment horizontal="left" vertical="center" wrapText="1" indent="1"/>
    </xf>
    <xf numFmtId="3" fontId="27" fillId="0" borderId="6" applyAlignment="1" pivotButton="0" quotePrefix="0" xfId="0">
      <alignment horizontal="right" vertical="center"/>
    </xf>
    <xf numFmtId="165" fontId="8" fillId="0" borderId="6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left" vertical="center" wrapText="1" indent="1"/>
    </xf>
    <xf numFmtId="3" fontId="29" fillId="12" borderId="6" applyAlignment="1" pivotButton="0" quotePrefix="0" xfId="0">
      <alignment horizontal="right" vertical="center"/>
    </xf>
    <xf numFmtId="9" fontId="28" fillId="12" borderId="6" applyAlignment="1" pivotButton="0" quotePrefix="0" xfId="0">
      <alignment horizontal="center" vertical="center" wrapText="1"/>
    </xf>
    <xf numFmtId="0" fontId="30" fillId="12" borderId="6" applyAlignment="1" pivotButton="0" quotePrefix="0" xfId="0">
      <alignment horizontal="left" vertical="center" wrapText="1" indent="1"/>
    </xf>
    <xf numFmtId="168" fontId="27" fillId="0" borderId="6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 wrapText="1" indent="1"/>
    </xf>
    <xf numFmtId="0" fontId="20" fillId="7" borderId="4" applyAlignment="1" pivotButton="0" quotePrefix="0" xfId="0">
      <alignment horizontal="right" vertical="center"/>
    </xf>
    <xf numFmtId="169" fontId="20" fillId="7" borderId="4" applyAlignment="1" pivotButton="0" quotePrefix="0" xfId="0">
      <alignment horizontal="right" vertical="center"/>
    </xf>
    <xf numFmtId="164" fontId="25" fillId="6" borderId="3" applyAlignment="1" pivotButton="0" quotePrefix="0" xfId="0">
      <alignment horizontal="right" vertical="center"/>
    </xf>
    <xf numFmtId="0" fontId="26" fillId="0" borderId="3" applyAlignment="1" pivotButton="0" quotePrefix="0" xfId="0">
      <alignment horizontal="left" vertical="center" wrapText="1" indent="1"/>
    </xf>
    <xf numFmtId="164" fontId="8" fillId="2" borderId="3" applyAlignment="1" pivotButton="0" quotePrefix="0" xfId="0">
      <alignment horizontal="right" vertical="center"/>
    </xf>
    <xf numFmtId="0" fontId="0" fillId="2" borderId="3" applyAlignment="1" pivotButton="0" quotePrefix="0" xfId="0">
      <alignment horizontal="general" vertical="bottom"/>
    </xf>
    <xf numFmtId="0" fontId="18" fillId="0" borderId="3" applyAlignment="1" pivotButton="0" quotePrefix="0" xfId="0">
      <alignment horizontal="left" vertical="center" wrapText="1" indent="1"/>
    </xf>
    <xf numFmtId="164" fontId="32" fillId="2" borderId="3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 indent="1"/>
    </xf>
    <xf numFmtId="0" fontId="33" fillId="0" borderId="4" applyAlignment="1" pivotButton="0" quotePrefix="0" xfId="0">
      <alignment horizontal="left" vertical="center" wrapText="1" indent="1"/>
    </xf>
    <xf numFmtId="164" fontId="32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34" fillId="0" borderId="4" applyAlignment="1" pivotButton="0" quotePrefix="0" xfId="0">
      <alignment horizontal="general" vertical="center"/>
    </xf>
    <xf numFmtId="0" fontId="8" fillId="0" borderId="4" applyAlignment="1" pivotButton="0" quotePrefix="0" xfId="0">
      <alignment horizontal="left" vertical="center" wrapText="1" indent="1"/>
    </xf>
    <xf numFmtId="0" fontId="8" fillId="6" borderId="4" applyAlignment="1" pivotButton="0" quotePrefix="0" xfId="0">
      <alignment horizontal="right" vertical="center"/>
    </xf>
    <xf numFmtId="0" fontId="0" fillId="6" borderId="4" applyAlignment="1" pivotButton="0" quotePrefix="0" xfId="0">
      <alignment horizontal="general" vertical="bottom"/>
    </xf>
    <xf numFmtId="0" fontId="35" fillId="0" borderId="4" applyAlignment="1" pivotButton="0" quotePrefix="0" xfId="0">
      <alignment horizontal="left" vertical="center" wrapText="1" indent="1"/>
    </xf>
    <xf numFmtId="0" fontId="8" fillId="2" borderId="3" applyAlignment="1" pivotButton="0" quotePrefix="0" xfId="0">
      <alignment horizontal="right" vertical="center"/>
    </xf>
    <xf numFmtId="0" fontId="7" fillId="3" borderId="7" applyAlignment="1" pivotButton="0" quotePrefix="0" xfId="0">
      <alignment horizontal="left" vertical="center" indent="1"/>
    </xf>
    <xf numFmtId="164" fontId="8" fillId="6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36" fillId="3" borderId="3" applyAlignment="1" pivotButton="0" quotePrefix="0" xfId="0">
      <alignment horizontal="center" vertical="bottom"/>
    </xf>
    <xf numFmtId="165" fontId="25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0" fontId="34" fillId="0" borderId="3" applyAlignment="1" pivotButton="0" quotePrefix="0" xfId="0">
      <alignment horizontal="left" vertical="center" wrapText="1" indent="1"/>
    </xf>
    <xf numFmtId="0" fontId="37" fillId="0" borderId="3" applyAlignment="1" pivotButton="0" quotePrefix="0" xfId="0">
      <alignment horizontal="left" vertical="center" wrapText="1" indent="1"/>
    </xf>
    <xf numFmtId="167" fontId="32" fillId="2" borderId="3" applyAlignment="1" pivotButton="0" quotePrefix="0" xfId="0">
      <alignment horizontal="right" vertical="center"/>
    </xf>
    <xf numFmtId="168" fontId="32" fillId="2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16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165" fontId="19" fillId="6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0" fontId="16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 indent="1"/>
    </xf>
    <xf numFmtId="166" fontId="20" fillId="7" borderId="4" applyAlignment="1" pivotButton="0" quotePrefix="0" xfId="0">
      <alignment horizontal="right" vertical="center"/>
    </xf>
    <xf numFmtId="0" fontId="0" fillId="6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left" vertical="center" wrapText="1" indent="1"/>
    </xf>
    <xf numFmtId="3" fontId="20" fillId="7" borderId="4" applyAlignment="1" pivotButton="0" quotePrefix="0" xfId="0">
      <alignment horizontal="right" vertical="center"/>
    </xf>
    <xf numFmtId="167" fontId="20" fillId="7" borderId="4" applyAlignment="1" pivotButton="0" quotePrefix="0" xfId="0">
      <alignment horizontal="right" vertical="center"/>
    </xf>
    <xf numFmtId="165" fontId="20" fillId="7" borderId="4" applyAlignment="1" pivotButton="0" quotePrefix="0" xfId="0">
      <alignment horizontal="right" vertical="center"/>
    </xf>
    <xf numFmtId="164" fontId="20" fillId="7" borderId="4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21" fillId="8" borderId="3" applyAlignment="1" pivotButton="0" quotePrefix="0" xfId="0">
      <alignment horizontal="right" vertical="center"/>
    </xf>
    <xf numFmtId="168" fontId="20" fillId="7" borderId="4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 wrapText="1" indent="1"/>
    </xf>
    <xf numFmtId="165" fontId="8" fillId="6" borderId="3" applyAlignment="1" pivotButton="0" quotePrefix="0" xfId="0">
      <alignment horizontal="right" vertical="center"/>
    </xf>
    <xf numFmtId="168" fontId="8" fillId="6" borderId="3" applyAlignment="1" pivotButton="0" quotePrefix="0" xfId="0">
      <alignment horizontal="right" vertical="center"/>
    </xf>
    <xf numFmtId="165" fontId="21" fillId="8" borderId="3" applyAlignment="1" pivotButton="0" quotePrefix="0" xfId="0">
      <alignment horizontal="right" vertical="center"/>
    </xf>
    <xf numFmtId="168" fontId="21" fillId="8" borderId="3" applyAlignment="1" pivotButton="0" quotePrefix="0" xfId="0">
      <alignment horizontal="right" vertical="center"/>
    </xf>
    <xf numFmtId="0" fontId="7" fillId="3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20" fillId="7" borderId="4" applyAlignment="1" applyProtection="1" pivotButton="0" quotePrefix="0" xfId="0">
      <alignment horizontal="right" vertical="center"/>
      <protection locked="0" hidden="0"/>
    </xf>
    <xf numFmtId="0" fontId="0" fillId="6" borderId="3" applyAlignment="1" applyProtection="1" pivotButton="0" quotePrefix="0" xfId="0">
      <alignment horizontal="general" vertical="bottom"/>
      <protection locked="0" hidden="0"/>
    </xf>
    <xf numFmtId="3" fontId="21" fillId="8" borderId="3" applyAlignment="1" applyProtection="1" pivotButton="0" quotePrefix="0" xfId="0">
      <alignment horizontal="right" vertical="center"/>
      <protection locked="0" hidden="0"/>
    </xf>
    <xf numFmtId="169" fontId="21" fillId="8" borderId="3" applyAlignment="1" applyProtection="1" pivotButton="0" quotePrefix="0" xfId="0">
      <alignment horizontal="right" vertical="center"/>
      <protection locked="0" hidden="0"/>
    </xf>
    <xf numFmtId="164" fontId="21" fillId="8" borderId="3" applyAlignment="1" applyProtection="1" pivotButton="0" quotePrefix="0" xfId="0">
      <alignment horizontal="right" vertical="center"/>
      <protection locked="0" hidden="0"/>
    </xf>
    <xf numFmtId="0" fontId="21" fillId="8" borderId="3" applyAlignment="1" applyProtection="1" pivotButton="0" quotePrefix="0" xfId="0">
      <alignment horizontal="right" vertical="center"/>
      <protection locked="0" hidden="0"/>
    </xf>
    <xf numFmtId="3" fontId="20" fillId="7" borderId="4" applyAlignment="1" applyProtection="1" pivotButton="0" quotePrefix="0" xfId="0">
      <alignment horizontal="right" vertical="center"/>
      <protection locked="0" hidden="0"/>
    </xf>
    <xf numFmtId="169" fontId="20" fillId="7" borderId="4" applyAlignment="1" applyProtection="1" pivotButton="0" quotePrefix="0" xfId="0">
      <alignment horizontal="right" vertical="center"/>
      <protection locked="0" hidden="0"/>
    </xf>
    <xf numFmtId="164" fontId="20" fillId="7" borderId="4" applyAlignment="1" applyProtection="1" pivotButton="0" quotePrefix="0" xfId="0">
      <alignment horizontal="right" vertical="center"/>
      <protection locked="0" hidden="0"/>
    </xf>
    <xf numFmtId="165" fontId="20" fillId="7" borderId="4" applyAlignment="1" applyProtection="1" pivotButton="0" quotePrefix="0" xfId="0">
      <alignment horizontal="right" vertical="center"/>
      <protection locked="0" hidden="0"/>
    </xf>
    <xf numFmtId="165" fontId="21" fillId="8" borderId="3" applyAlignment="1" applyProtection="1" pivotButton="0" quotePrefix="0" xfId="0">
      <alignment horizontal="right" vertical="center"/>
      <protection locked="0" hidden="0"/>
    </xf>
    <xf numFmtId="168" fontId="21" fillId="8" borderId="3" applyAlignment="1" applyProtection="1" pivotButton="0" quotePrefix="0" xfId="0">
      <alignment horizontal="right" vertical="center"/>
      <protection locked="0" hidden="0"/>
    </xf>
    <xf numFmtId="0" fontId="8" fillId="6" borderId="3" applyAlignment="1" pivotButton="0" quotePrefix="0" xfId="0">
      <alignment horizontal="right" vertical="center"/>
    </xf>
    <xf numFmtId="169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7" fontId="8" fillId="6" borderId="3" applyAlignment="1" pivotButton="0" quotePrefix="0" xfId="0">
      <alignment horizontal="right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 indent="1"/>
    </xf>
    <xf numFmtId="3" fontId="25" fillId="0" borderId="6" applyAlignment="1" pivotButton="0" quotePrefix="0" xfId="0">
      <alignment horizontal="right" vertical="center"/>
    </xf>
    <xf numFmtId="0" fontId="8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 indent="1"/>
    </xf>
    <xf numFmtId="165" fontId="8" fillId="0" borderId="6" applyAlignment="1" pivotButton="0" quotePrefix="0" xfId="0">
      <alignment horizontal="right" vertical="center"/>
    </xf>
    <xf numFmtId="3" fontId="8" fillId="0" borderId="6" applyAlignment="1" pivotButton="0" quotePrefix="0" xfId="0">
      <alignment horizontal="right" vertical="center"/>
    </xf>
    <xf numFmtId="2" fontId="21" fillId="0" borderId="6" applyAlignment="1" pivotButton="0" quotePrefix="0" xfId="0">
      <alignment horizontal="right" vertical="center"/>
    </xf>
    <xf numFmtId="2" fontId="8" fillId="0" borderId="6" applyAlignment="1" pivotButton="0" quotePrefix="0" xfId="0">
      <alignment horizontal="right" vertical="center"/>
    </xf>
    <xf numFmtId="168" fontId="25" fillId="0" borderId="6" applyAlignment="1" pivotButton="0" quotePrefix="0" xfId="0">
      <alignment horizontal="right" vertical="center"/>
    </xf>
    <xf numFmtId="168" fontId="21" fillId="0" borderId="6" applyAlignment="1" pivotButton="0" quotePrefix="0" xfId="0">
      <alignment horizontal="right" vertical="center"/>
    </xf>
    <xf numFmtId="168" fontId="8" fillId="0" borderId="6" applyAlignment="1" pivotButton="0" quotePrefix="0" xfId="0">
      <alignment horizontal="right" vertical="center"/>
    </xf>
    <xf numFmtId="169" fontId="25" fillId="0" borderId="6" applyAlignment="1" pivotButton="0" quotePrefix="0" xfId="0">
      <alignment horizontal="right" vertical="center"/>
    </xf>
    <xf numFmtId="169" fontId="8" fillId="0" borderId="6" applyAlignment="1" pivotButton="0" quotePrefix="0" xfId="0">
      <alignment horizontal="right" vertical="center"/>
    </xf>
    <xf numFmtId="9" fontId="8" fillId="0" borderId="6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wrapText="1" indent="1"/>
    </xf>
    <xf numFmtId="0" fontId="26" fillId="0" borderId="6" applyAlignment="1" pivotButton="0" quotePrefix="0" xfId="0">
      <alignment horizontal="left" vertical="center" wrapText="1" indent="1"/>
    </xf>
    <xf numFmtId="3" fontId="27" fillId="0" borderId="6" applyAlignment="1" pivotButton="0" quotePrefix="0" xfId="0">
      <alignment horizontal="right" vertical="center"/>
    </xf>
    <xf numFmtId="165" fontId="8" fillId="0" borderId="6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left" vertical="center" wrapText="1" indent="1"/>
    </xf>
    <xf numFmtId="3" fontId="29" fillId="12" borderId="6" applyAlignment="1" pivotButton="0" quotePrefix="0" xfId="0">
      <alignment horizontal="right" vertical="center"/>
    </xf>
    <xf numFmtId="9" fontId="28" fillId="12" borderId="6" applyAlignment="1" pivotButton="0" quotePrefix="0" xfId="0">
      <alignment horizontal="center" vertical="center" wrapText="1"/>
    </xf>
    <xf numFmtId="0" fontId="30" fillId="12" borderId="6" applyAlignment="1" pivotButton="0" quotePrefix="0" xfId="0">
      <alignment horizontal="left" vertical="center" wrapText="1" indent="1"/>
    </xf>
    <xf numFmtId="168" fontId="27" fillId="0" borderId="6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 wrapText="1" indent="1"/>
    </xf>
    <xf numFmtId="0" fontId="20" fillId="7" borderId="4" applyAlignment="1" pivotButton="0" quotePrefix="0" xfId="0">
      <alignment horizontal="right" vertical="center"/>
    </xf>
    <xf numFmtId="169" fontId="20" fillId="7" borderId="4" applyAlignment="1" pivotButton="0" quotePrefix="0" xfId="0">
      <alignment horizontal="right" vertical="center"/>
    </xf>
    <xf numFmtId="164" fontId="25" fillId="6" borderId="3" applyAlignment="1" pivotButton="0" quotePrefix="0" xfId="0">
      <alignment horizontal="right" vertical="center"/>
    </xf>
    <xf numFmtId="0" fontId="26" fillId="0" borderId="3" applyAlignment="1" pivotButton="0" quotePrefix="0" xfId="0">
      <alignment horizontal="left" vertical="center" wrapText="1" indent="1"/>
    </xf>
    <xf numFmtId="164" fontId="8" fillId="2" borderId="3" applyAlignment="1" pivotButton="0" quotePrefix="0" xfId="0">
      <alignment horizontal="right" vertical="center"/>
    </xf>
    <xf numFmtId="0" fontId="0" fillId="2" borderId="3" applyAlignment="1" pivotButton="0" quotePrefix="0" xfId="0">
      <alignment horizontal="general" vertical="bottom"/>
    </xf>
    <xf numFmtId="0" fontId="18" fillId="0" borderId="3" applyAlignment="1" pivotButton="0" quotePrefix="0" xfId="0">
      <alignment horizontal="left" vertical="center" wrapText="1" indent="1"/>
    </xf>
    <xf numFmtId="164" fontId="32" fillId="2" borderId="3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33" fillId="0" borderId="4" applyAlignment="1" pivotButton="0" quotePrefix="0" xfId="0">
      <alignment horizontal="left" vertical="center" wrapText="1" indent="1"/>
    </xf>
    <xf numFmtId="164" fontId="32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34" fillId="0" borderId="4" applyAlignment="1" pivotButton="0" quotePrefix="0" xfId="0">
      <alignment horizontal="general" vertical="center"/>
    </xf>
    <xf numFmtId="0" fontId="8" fillId="0" borderId="4" applyAlignment="1" pivotButton="0" quotePrefix="0" xfId="0">
      <alignment horizontal="left" vertical="center" wrapText="1" indent="1"/>
    </xf>
    <xf numFmtId="0" fontId="8" fillId="6" borderId="4" applyAlignment="1" pivotButton="0" quotePrefix="0" xfId="0">
      <alignment horizontal="right" vertical="center"/>
    </xf>
    <xf numFmtId="0" fontId="0" fillId="6" borderId="4" applyAlignment="1" pivotButton="0" quotePrefix="0" xfId="0">
      <alignment horizontal="general" vertical="bottom"/>
    </xf>
    <xf numFmtId="0" fontId="35" fillId="0" borderId="4" applyAlignment="1" pivotButton="0" quotePrefix="0" xfId="0">
      <alignment horizontal="left" vertical="center" wrapText="1" indent="1"/>
    </xf>
    <xf numFmtId="0" fontId="8" fillId="2" borderId="3" applyAlignment="1" pivotButton="0" quotePrefix="0" xfId="0">
      <alignment horizontal="right" vertical="center"/>
    </xf>
    <xf numFmtId="0" fontId="7" fillId="3" borderId="7" applyAlignment="1" pivotButton="0" quotePrefix="0" xfId="0">
      <alignment horizontal="left" vertical="center" indent="1"/>
    </xf>
    <xf numFmtId="164" fontId="8" fillId="6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36" fillId="3" borderId="3" applyAlignment="1" pivotButton="0" quotePrefix="0" xfId="0">
      <alignment horizontal="center" vertical="bottom"/>
    </xf>
    <xf numFmtId="165" fontId="25" fillId="6" borderId="3" applyAlignment="1" pivotButton="0" quotePrefix="0" xfId="0">
      <alignment horizontal="right" vertical="center"/>
    </xf>
    <xf numFmtId="168" fontId="25" fillId="6" borderId="3" applyAlignment="1" pivotButton="0" quotePrefix="0" xfId="0">
      <alignment horizontal="right" vertical="center"/>
    </xf>
    <xf numFmtId="0" fontId="34" fillId="0" borderId="3" applyAlignment="1" pivotButton="0" quotePrefix="0" xfId="0">
      <alignment horizontal="left" vertical="center" wrapText="1" indent="1"/>
    </xf>
    <xf numFmtId="0" fontId="37" fillId="0" borderId="3" applyAlignment="1" pivotButton="0" quotePrefix="0" xfId="0">
      <alignment horizontal="left" vertical="center" wrapText="1" indent="1"/>
    </xf>
    <xf numFmtId="167" fontId="32" fillId="2" borderId="3" applyAlignment="1" pivotButton="0" quotePrefix="0" xfId="0">
      <alignment horizontal="right" vertical="center"/>
    </xf>
    <xf numFmtId="168" fontId="32" fillId="2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D1D1D1"/>
      <rgbColor rgb="FF718096"/>
      <rgbColor rgb="FF9999FF"/>
      <rgbColor rgb="FF993366"/>
      <rgbColor rgb="FFFFFDE7"/>
      <rgbColor rgb="FFEDF2F7"/>
      <rgbColor rgb="FF660066"/>
      <rgbColor rgb="FFFF8080"/>
      <rgbColor rgb="FF475878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E8ECF1"/>
      <rgbColor rgb="FFE8EAF0"/>
      <rgbColor rgb="FFFFF3E0"/>
      <rgbColor rgb="FF99CCFF"/>
      <rgbColor rgb="FFFF99CC"/>
      <rgbColor rgb="FFCC99FF"/>
      <rgbColor rgb="FFFFF9E6"/>
      <rgbColor rgb="FF2E75B6"/>
      <rgbColor rgb="FF33CCCC"/>
      <rgbColor rgb="FF99CC00"/>
      <rgbColor rgb="FFFFCC00"/>
      <rgbColor rgb="FFF57C00"/>
      <rgbColor rgb="FFE86C00"/>
      <rgbColor rgb="FF666666"/>
      <rgbColor rgb="FF969696"/>
      <rgbColor rgb="FF1B3A5C"/>
      <rgbColor rgb="FF339966"/>
      <rgbColor rgb="FF1A1A1A"/>
      <rgbColor rgb="FF2D3748"/>
      <rgbColor rgb="FF993300"/>
      <rgbColor rgb="FF993366"/>
      <rgbColor rgb="FF1B2A4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 </author>
  </authors>
  <commentList>
    <comment ref="C7" authorId="0" shapeId="0">
      <text>
        <t>Cenário da conta
Selecione o cenário de adoção da plataforma:
• Conservador — adoção gradual, menor impacto
• Realista — adoção moderada, impacto intermediário
• Otimista — adoção acelerada, maior impacto
Este cenário define automaticamente os ajustes finos (deltas) da Premissas, a menos que você os substitua manualmente na seção "Ajuste Fino".</t>
      </text>
    </comment>
    <comment ref="C8" authorId="0" shapeId="0">
      <text>
        <t>Duração do contrato
Selecione o prazo do contrato com a Perfecting:
• 3 meses — período curto de teste
• 6 meses — compromisso intermediário
• 12 meses — duração padrão recomendada
• 24 meses — compromisso longo (melhor custo-benefício)
A duração afeta os descontos de escada e o prazo de amortização do ROI.</t>
      </text>
    </comment>
    <comment ref="C9" authorId="0" shapeId="0">
      <text>
        <t>Habilitação compartilhada?
Selecione "Sim" se a habilitação (onboarding) dos vendedores na plataforma será coordenada em nível de conta (compartilhada entre equipes).
Selecione "Não" se cada equipe fará sua própria habilitação.
Quando "Sim", defina o tipo de contratual em C10.</t>
      </text>
    </comment>
    <comment ref="C10" authorId="0" shapeId="0">
      <text>
        <t>Contratual da conta (se compartilhada)
Disponível apenas se habilitação for compartilhada (C9 = "Sim").
Selecione o tipo de custo contratual que se aplica à conta:
• gerentes — custo dos gerentes de treinamento da conta
• treinamento externo — custo anual com treinamento externo
• evento — custo anual com evento presencial
• nenhum — sem custo contratual na conta</t>
      </text>
    </comment>
    <comment ref="C11" authorId="0" shapeId="0">
      <text>
        <t>N. gerentes de treinamento (conta)
Quantidade de gerentes de treinamento responsáveis pela conta como um todo.
Este número se aplica apenas se a habilitação for compartilhada (C9 = "Sim").
Insira um número inteiro (ex.: 1, 2, 3...).</t>
      </text>
    </comment>
    <comment ref="C12" authorId="0" shapeId="0">
      <text>
        <t>Horas treinamento/gerente/mês (conta)
Número de horas que cada gerente de treinamento da conta dedica ao treinamento de vendedores por mês.
Insira um número decimal (ex.: 22, 40).</t>
      </text>
    </comment>
    <comment ref="C13" authorId="0" shapeId="0">
      <text>
        <t>Salário mensal do gerente (conta)
Salário mensal bruto de cada gerente de treinamento alocado à conta.
Usado para calcular o custo total de habilitação compartilhada.
Insira o valor em reais (R$) sem formatação (ex.: 5000).</t>
      </text>
    </comment>
    <comment ref="C14" authorId="0" shapeId="0">
      <text>
        <t>Custo anual treinamento externo (conta)
Custo total anual gasto com treinamento externo para a conta.
Inclui cursos, consultorias e programas de desenvolvimento.
Insira o valor em reais (R$) sem formatação (ex.: 10000).</t>
      </text>
    </comment>
    <comment ref="C15" authorId="0" shapeId="0">
      <text>
        <t>Custo anual evento presencial (conta)
Custo total anual gasto com eventos presenciais para a conta
(kick-offs, convenções de vendas, workshops).
Insira o valor em reais (R$) sem formatação (ex.: 5000).</t>
      </text>
    </comment>
    <comment ref="C18" authorId="0" shapeId="0">
      <text>
        <t>Nome da equipe
Insira o nome identificador desta equipe de vendas.
Ex.: "Enterprise Sudeste", "SMB Norte", "Renovação".</t>
      </text>
    </comment>
    <comment ref="D18" authorId="0" shapeId="0">
      <text>
        <t>Nome da equipe
Insira o nome identificador desta equipe de vendas.
Ex.: "Enterprise Sudeste", "SMB Norte", "Renovação".</t>
      </text>
    </comment>
    <comment ref="E18" authorId="0" shapeId="0">
      <text>
        <t>Nome da equipe
Insira o nome identificador desta equipe de vendas.
Ex.: "Enterprise Sudeste", "SMB Norte", "Renovação".</t>
      </text>
    </comment>
    <comment ref="F18" authorId="0" shapeId="0">
      <text>
        <t>Nome da equipe
Insira o nome identificador desta equipe de vendas.
Ex.: "Enterprise Sudeste", "SMB Norte", "Renovação".</t>
      </text>
    </comment>
    <comment ref="G18" authorId="0" shapeId="0">
      <text>
        <t>Nome da equipe
Insira o nome identificador desta equipe de vendas.
Ex.: "Enterprise Sudeste", "SMB Norte", "Renovação".</t>
      </text>
    </comment>
    <comment ref="H18" authorId="0" shapeId="0">
      <text>
        <t>Nome da equipe
Insira o nome identificador desta equipe de vendas.
Ex.: "Enterprise Sudeste", "SMB Norte", "Renovação".</t>
      </text>
    </comment>
    <comment ref="I18" authorId="0" shapeId="0">
      <text>
        <t>Nome da equipe
Insira o nome identificador desta equipe de vendas.
Ex.: "Enterprise Sudeste", "SMB Norte", "Renovação".</t>
      </text>
    </comment>
    <comment ref="J18" authorId="0" shapeId="0">
      <text>
        <t>Nome da equipe
Insira o nome identificador desta equipe de vendas.
Ex.: "Enterprise Sudeste", "SMB Norte", "Renovação".</t>
      </text>
    </comment>
    <comment ref="K18" authorId="0" shapeId="0">
      <text>
        <t>Nome da equipe
Insira o nome identificador desta equipe de vendas.
Ex.: "Enterprise Sudeste", "SMB Norte", "Renovação".</t>
      </text>
    </comment>
    <comment ref="L18" authorId="0" shapeId="0">
      <text>
        <t>Nome da equipe
Insira o nome identificador desta equipe de vendas.
Ex.: "Enterprise Sudeste", "SMB Norte", "Renovação".</t>
      </text>
    </comment>
    <comment ref="C21" authorId="0" shapeId="0">
      <text>
        <t>Número de vendedores
Quantidade total de vendedores ativos nesta equipe.
A equipe sem vendedores é ignorada no cálculo.
Insira um número inteiro (ex.: 8, 15, 30).</t>
      </text>
    </comment>
    <comment ref="D21" authorId="0" shapeId="0">
      <text>
        <t>Número de vendedores
Quantidade total de vendedores ativos nesta equipe.
A equipe sem vendedores é ignorada no cálculo.
Insira um número inteiro (ex.: 8, 15, 30).</t>
      </text>
    </comment>
    <comment ref="E21" authorId="0" shapeId="0">
      <text>
        <t>Número de vendedores
Quantidade total de vendedores ativos nesta equipe.
A equipe sem vendedores é ignorada no cálculo.
Insira um número inteiro (ex.: 8, 15, 30).</t>
      </text>
    </comment>
    <comment ref="F21" authorId="0" shapeId="0">
      <text>
        <t>Número de vendedores
Quantidade total de vendedores ativos nesta equipe.
A equipe sem vendedores é ignorada no cálculo.
Insira um número inteiro (ex.: 8, 15, 30).</t>
      </text>
    </comment>
    <comment ref="G21" authorId="0" shapeId="0">
      <text>
        <t>Número de vendedores
Quantidade total de vendedores ativos nesta equipe.
A equipe sem vendedores é ignorada no cálculo.
Insira um número inteiro (ex.: 8, 15, 30).</t>
      </text>
    </comment>
    <comment ref="H21" authorId="0" shapeId="0">
      <text>
        <t>Número de vendedores
Quantidade total de vendedores ativos nesta equipe.
A equipe sem vendedores é ignorada no cálculo.
Insira um número inteiro (ex.: 8, 15, 30).</t>
      </text>
    </comment>
    <comment ref="I21" authorId="0" shapeId="0">
      <text>
        <t>Número de vendedores
Quantidade total de vendedores ativos nesta equipe.
A equipe sem vendedores é ignorada no cálculo.
Insira um número inteiro (ex.: 8, 15, 30).</t>
      </text>
    </comment>
    <comment ref="J21" authorId="0" shapeId="0">
      <text>
        <t>Número de vendedores
Quantidade total de vendedores ativos nesta equipe.
A equipe sem vendedores é ignorada no cálculo.
Insira um número inteiro (ex.: 8, 15, 30).</t>
      </text>
    </comment>
    <comment ref="K21" authorId="0" shapeId="0">
      <text>
        <t>Número de vendedores
Quantidade total de vendedores ativos nesta equipe.
A equipe sem vendedores é ignorada no cálculo.
Insira um número inteiro (ex.: 8, 15, 30).</t>
      </text>
    </comment>
    <comment ref="L21" authorId="0" shapeId="0">
      <text>
        <t>Número de vendedores
Quantidade total de vendedores ativos nesta equipe.
A equipe sem vendedores é ignorada no cálculo.
Insira um número inteiro (ex.: 8, 15, 30).</t>
      </text>
    </comment>
    <comment ref="C22" authorId="0" shapeId="0">
      <text>
        <t>Número de gerentes de treinamento
Quantidade de gerentes dedicados ao coaching/treinamento desta equipe.
Insira um número inteiro (ex.: 1, 2).</t>
      </text>
    </comment>
    <comment ref="D22" authorId="0" shapeId="0">
      <text>
        <t>Número de gerentes de treinamento
Quantidade de gerentes dedicados ao coaching/treinamento desta equipe.
Insira um número inteiro (ex.: 1, 2).</t>
      </text>
    </comment>
    <comment ref="E22" authorId="0" shapeId="0">
      <text>
        <t>Número de gerentes de treinamento
Quantidade de gerentes dedicados ao coaching/treinamento desta equipe.
Insira um número inteiro (ex.: 1, 2).</t>
      </text>
    </comment>
    <comment ref="F22" authorId="0" shapeId="0">
      <text>
        <t>Número de gerentes de treinamento
Quantidade de gerentes dedicados ao coaching/treinamento desta equipe.
Insira um número inteiro (ex.: 1, 2).</t>
      </text>
    </comment>
    <comment ref="G22" authorId="0" shapeId="0">
      <text>
        <t>Número de gerentes de treinamento
Quantidade de gerentes dedicados ao coaching/treinamento desta equipe.
Insira um número inteiro (ex.: 1, 2).</t>
      </text>
    </comment>
    <comment ref="H22" authorId="0" shapeId="0">
      <text>
        <t>Número de gerentes de treinamento
Quantidade de gerentes dedicados ao coaching/treinamento desta equipe.
Insira um número inteiro (ex.: 1, 2).</t>
      </text>
    </comment>
    <comment ref="I22" authorId="0" shapeId="0">
      <text>
        <t>Número de gerentes de treinamento
Quantidade de gerentes dedicados ao coaching/treinamento desta equipe.
Insira um número inteiro (ex.: 1, 2).</t>
      </text>
    </comment>
    <comment ref="J22" authorId="0" shapeId="0">
      <text>
        <t>Número de gerentes de treinamento
Quantidade de gerentes dedicados ao coaching/treinamento desta equipe.
Insira um número inteiro (ex.: 1, 2).</t>
      </text>
    </comment>
    <comment ref="K22" authorId="0" shapeId="0">
      <text>
        <t>Número de gerentes de treinamento
Quantidade de gerentes dedicados ao coaching/treinamento desta equipe.
Insira um número inteiro (ex.: 1, 2).</t>
      </text>
    </comment>
    <comment ref="L22" authorId="0" shapeId="0">
      <text>
        <t>Número de gerentes de treinamento
Quantidade de gerentes dedicados ao coaching/treinamento desta equipe.
Insira um número inteiro (ex.: 1, 2).</t>
      </text>
    </comment>
    <comment ref="C23" authorId="0" shapeId="0">
      <text>
        <t>Horas de treinamento por gerente/mês
Horas que cada gerente dedica mensalmente ao treinamento
prático dos vendedores da equipe.
Insira um número decimal (ex.: 22, 40).</t>
      </text>
    </comment>
    <comment ref="D23" authorId="0" shapeId="0">
      <text>
        <t>Horas de treinamento por gerente/mês
Horas que cada gerente dedica mensalmente ao treinamento
prático dos vendedores da equipe.
Insira um número decimal (ex.: 22, 40).</t>
      </text>
    </comment>
    <comment ref="E23" authorId="0" shapeId="0">
      <text>
        <t>Horas de treinamento por gerente/mês
Horas que cada gerente dedica mensalmente ao treinamento
prático dos vendedores da equipe.
Insira um número decimal (ex.: 22, 40).</t>
      </text>
    </comment>
    <comment ref="F23" authorId="0" shapeId="0">
      <text>
        <t>Horas de treinamento por gerente/mês
Horas que cada gerente dedica mensalmente ao treinamento
prático dos vendedores da equipe.
Insira um número decimal (ex.: 22, 40).</t>
      </text>
    </comment>
    <comment ref="G23" authorId="0" shapeId="0">
      <text>
        <t>Horas de treinamento por gerente/mês
Horas que cada gerente dedica mensalmente ao treinamento
prático dos vendedores da equipe.
Insira um número decimal (ex.: 22, 40).</t>
      </text>
    </comment>
    <comment ref="H23" authorId="0" shapeId="0">
      <text>
        <t>Horas de treinamento por gerente/mês
Horas que cada gerente dedica mensalmente ao treinamento
prático dos vendedores da equipe.
Insira um número decimal (ex.: 22, 40).</t>
      </text>
    </comment>
    <comment ref="I23" authorId="0" shapeId="0">
      <text>
        <t>Horas de treinamento por gerente/mês
Horas que cada gerente dedica mensalmente ao treinamento
prático dos vendedores da equipe.
Insira um número decimal (ex.: 22, 40).</t>
      </text>
    </comment>
    <comment ref="J23" authorId="0" shapeId="0">
      <text>
        <t>Horas de treinamento por gerente/mês
Horas que cada gerente dedica mensalmente ao treinamento
prático dos vendedores da equipe.
Insira um número decimal (ex.: 22, 40).</t>
      </text>
    </comment>
    <comment ref="K23" authorId="0" shapeId="0">
      <text>
        <t>Horas de treinamento por gerente/mês
Horas que cada gerente dedica mensalmente ao treinamento
prático dos vendedores da equipe.
Insira um número decimal (ex.: 22, 40).</t>
      </text>
    </comment>
    <comment ref="L23" authorId="0" shapeId="0">
      <text>
        <t>Horas de treinamento por gerente/mês
Horas que cada gerente dedica mensalmente ao treinamento
prático dos vendedores da equipe.
Insira um número decimal (ex.: 22, 40).</t>
      </text>
    </comment>
    <comment ref="C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D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E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F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G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H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I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J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K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L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C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D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E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F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G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H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I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J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K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L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C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D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E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F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G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H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I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J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K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L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C29" authorId="0" shapeId="0">
      <text>
        <t>Receita mensal da equipe
Receita bruta mensal gerada por toda a equipe.
Inclui todas as vendas fechadas no mês.
Insira o valor em reais (R$) sem formatação (ex.: 500000).</t>
      </text>
    </comment>
    <comment ref="D29" authorId="0" shapeId="0">
      <text>
        <t>Receita mensal da equipe
Receita bruta mensal gerada por toda a equipe.
Inclui todas as vendas fechadas no mês.
Insira o valor em reais (R$) sem formatação (ex.: 500000).</t>
      </text>
    </comment>
    <comment ref="E29" authorId="0" shapeId="0">
      <text>
        <t>Receita mensal da equipe
Receita bruta mensal gerada por toda a equipe.
Inclui todas as vendas fechadas no mês.
Insira o valor em reais (R$) sem formatação (ex.: 500000).</t>
      </text>
    </comment>
    <comment ref="F29" authorId="0" shapeId="0">
      <text>
        <t>Receita mensal da equipe
Receita bruta mensal gerada por toda a equipe.
Inclui todas as vendas fechadas no mês.
Insira o valor em reais (R$) sem formatação (ex.: 500000).</t>
      </text>
    </comment>
    <comment ref="G29" authorId="0" shapeId="0">
      <text>
        <t>Receita mensal da equipe
Receita bruta mensal gerada por toda a equipe.
Inclui todas as vendas fechadas no mês.
Insira o valor em reais (R$) sem formatação (ex.: 500000).</t>
      </text>
    </comment>
    <comment ref="H29" authorId="0" shapeId="0">
      <text>
        <t>Receita mensal da equipe
Receita bruta mensal gerada por toda a equipe.
Inclui todas as vendas fechadas no mês.
Insira o valor em reais (R$) sem formatação (ex.: 500000).</t>
      </text>
    </comment>
    <comment ref="I29" authorId="0" shapeId="0">
      <text>
        <t>Receita mensal da equipe
Receita bruta mensal gerada por toda a equipe.
Inclui todas as vendas fechadas no mês.
Insira o valor em reais (R$) sem formatação (ex.: 500000).</t>
      </text>
    </comment>
    <comment ref="J29" authorId="0" shapeId="0">
      <text>
        <t>Receita mensal da equipe
Receita bruta mensal gerada por toda a equipe.
Inclui todas as vendas fechadas no mês.
Insira o valor em reais (R$) sem formatação (ex.: 500000).</t>
      </text>
    </comment>
    <comment ref="K29" authorId="0" shapeId="0">
      <text>
        <t>Receita mensal da equipe
Receita bruta mensal gerada por toda a equipe.
Inclui todas as vendas fechadas no mês.
Insira o valor em reais (R$) sem formatação (ex.: 500000).</t>
      </text>
    </comment>
    <comment ref="L29" authorId="0" shapeId="0">
      <text>
        <t>Receita mensal da equipe
Receita bruta mensal gerada por toda a equipe.
Inclui todas as vendas fechadas no mês.
Insira o valor em reais (R$) sem formatação (ex.: 500000).</t>
      </text>
    </comment>
    <comment ref="C30" authorId="0" shapeId="0">
      <text>
        <t>Ticket médio
Valor médio de cada negócio fechado.
Receita total ÷ número de negócios.
Insira o valor em reais (R$) sem formatação (ex.: 50000).</t>
      </text>
    </comment>
    <comment ref="D30" authorId="0" shapeId="0">
      <text>
        <t>Ticket médio
Valor médio de cada negócio fechado.
Receita total ÷ número de negócios.
Insira o valor em reais (R$) sem formatação (ex.: 50000).</t>
      </text>
    </comment>
    <comment ref="E30" authorId="0" shapeId="0">
      <text>
        <t>Ticket médio
Valor médio de cada negócio fechado.
Receita total ÷ número de negócios.
Insira o valor em reais (R$) sem formatação (ex.: 50000).</t>
      </text>
    </comment>
    <comment ref="F30" authorId="0" shapeId="0">
      <text>
        <t>Ticket médio
Valor médio de cada negócio fechado.
Receita total ÷ número de negócios.
Insira o valor em reais (R$) sem formatação (ex.: 50000).</t>
      </text>
    </comment>
    <comment ref="G30" authorId="0" shapeId="0">
      <text>
        <t>Ticket médio
Valor médio de cada negócio fechado.
Receita total ÷ número de negócios.
Insira o valor em reais (R$) sem formatação (ex.: 50000).</t>
      </text>
    </comment>
    <comment ref="H30" authorId="0" shapeId="0">
      <text>
        <t>Ticket médio
Valor médio de cada negócio fechado.
Receita total ÷ número de negócios.
Insira o valor em reais (R$) sem formatação (ex.: 50000).</t>
      </text>
    </comment>
    <comment ref="I30" authorId="0" shapeId="0">
      <text>
        <t>Ticket médio
Valor médio de cada negócio fechado.
Receita total ÷ número de negócios.
Insira o valor em reais (R$) sem formatação (ex.: 50000).</t>
      </text>
    </comment>
    <comment ref="J30" authorId="0" shapeId="0">
      <text>
        <t>Ticket médio
Valor médio de cada negócio fechado.
Receita total ÷ número de negócios.
Insira o valor em reais (R$) sem formatação (ex.: 50000).</t>
      </text>
    </comment>
    <comment ref="K30" authorId="0" shapeId="0">
      <text>
        <t>Ticket médio
Valor médio de cada negócio fechado.
Receita total ÷ número de negócios.
Insira o valor em reais (R$) sem formatação (ex.: 50000).</t>
      </text>
    </comment>
    <comment ref="L30" authorId="0" shapeId="0">
      <text>
        <t>Ticket médio
Valor médio de cada negócio fechado.
Receita total ÷ número de negócios.
Insira o valor em reais (R$) sem formatação (ex.: 50000).</t>
      </text>
    </comment>
    <comment ref="C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D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E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F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G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H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I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J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K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L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C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D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E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F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G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H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I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J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K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L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C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D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E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F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G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H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I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J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K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L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C36" authorId="0" shapeId="0">
      <text>
        <t>Novos vendedores por ano
Quantidade de novos vendedores contratados anualmente
para esta equipe (rotatividade + expansão).
Insira um número inteiro (ex.: 3, 5).</t>
      </text>
    </comment>
    <comment ref="D36" authorId="0" shapeId="0">
      <text>
        <t>Novos vendedores por ano
Quantidade de novos vendedores contratados anualmente
para esta equipe (rotatividade + expansão).
Insira um número inteiro (ex.: 3, 5).</t>
      </text>
    </comment>
    <comment ref="E36" authorId="0" shapeId="0">
      <text>
        <t>Novos vendedores por ano
Quantidade de novos vendedores contratados anualmente
para esta equipe (rotatividade + expansão).
Insira um número inteiro (ex.: 3, 5).</t>
      </text>
    </comment>
    <comment ref="F36" authorId="0" shapeId="0">
      <text>
        <t>Novos vendedores por ano
Quantidade de novos vendedores contratados anualmente
para esta equipe (rotatividade + expansão).
Insira um número inteiro (ex.: 3, 5).</t>
      </text>
    </comment>
    <comment ref="G36" authorId="0" shapeId="0">
      <text>
        <t>Novos vendedores por ano
Quantidade de novos vendedores contratados anualmente
para esta equipe (rotatividade + expansão).
Insira um número inteiro (ex.: 3, 5).</t>
      </text>
    </comment>
    <comment ref="H36" authorId="0" shapeId="0">
      <text>
        <t>Novos vendedores por ano
Quantidade de novos vendedores contratados anualmente
para esta equipe (rotatividade + expansão).
Insira um número inteiro (ex.: 3, 5).</t>
      </text>
    </comment>
    <comment ref="I36" authorId="0" shapeId="0">
      <text>
        <t>Novos vendedores por ano
Quantidade de novos vendedores contratados anualmente
para esta equipe (rotatividade + expansão).
Insira um número inteiro (ex.: 3, 5).</t>
      </text>
    </comment>
    <comment ref="J36" authorId="0" shapeId="0">
      <text>
        <t>Novos vendedores por ano
Quantidade de novos vendedores contratados anualmente
para esta equipe (rotatividade + expansão).
Insira um número inteiro (ex.: 3, 5).</t>
      </text>
    </comment>
    <comment ref="K36" authorId="0" shapeId="0">
      <text>
        <t>Novos vendedores por ano
Quantidade de novos vendedores contratados anualmente
para esta equipe (rotatividade + expansão).
Insira um número inteiro (ex.: 3, 5).</t>
      </text>
    </comment>
    <comment ref="L36" authorId="0" shapeId="0">
      <text>
        <t>Novos vendedores por ano
Quantidade de novos vendedores contratados anualmente
para esta equipe (rotatividade + expansão).
Insira um número inteiro (ex.: 3, 5).</t>
      </text>
    </comment>
    <comment ref="C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D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E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F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G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H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I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J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K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L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C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D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E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F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G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H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I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J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K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L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C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D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E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F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G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H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I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J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K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L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C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D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E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F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G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H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I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J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K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L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C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D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E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F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G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H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I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J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K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L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C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D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E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F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G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H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I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J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K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L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C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D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E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F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G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H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I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J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K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L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C50" authorId="0" shapeId="0">
      <text>
        <t>Assentos
Número de licenças (assentos) necessárias nesta equipe.
Geralmente igual ao número de vendedores + gerentes.
Insira um número inteiro (ex.: 10, 20).</t>
      </text>
    </comment>
    <comment ref="D50" authorId="0" shapeId="0">
      <text>
        <t>Assentos
Número de licenças (assentos) necessárias nesta equipe.
Geralmente igual ao número de vendedores + gerentes.
Insira um número inteiro (ex.: 10, 20).</t>
      </text>
    </comment>
    <comment ref="E50" authorId="0" shapeId="0">
      <text>
        <t>Assentos
Número de licenças (assentos) necessárias nesta equipe.
Geralmente igual ao número de vendedores + gerentes.
Insira um número inteiro (ex.: 10, 20).</t>
      </text>
    </comment>
    <comment ref="F50" authorId="0" shapeId="0">
      <text>
        <t>Assentos
Número de licenças (assentos) necessárias nesta equipe.
Geralmente igual ao número de vendedores + gerentes.
Insira um número inteiro (ex.: 10, 20).</t>
      </text>
    </comment>
    <comment ref="G50" authorId="0" shapeId="0">
      <text>
        <t>Assentos
Número de licenças (assentos) necessárias nesta equipe.
Geralmente igual ao número de vendedores + gerentes.
Insira um número inteiro (ex.: 10, 20).</t>
      </text>
    </comment>
    <comment ref="H50" authorId="0" shapeId="0">
      <text>
        <t>Assentos
Número de licenças (assentos) necessárias nesta equipe.
Geralmente igual ao número de vendedores + gerentes.
Insira um número inteiro (ex.: 10, 20).</t>
      </text>
    </comment>
    <comment ref="I50" authorId="0" shapeId="0">
      <text>
        <t>Assentos
Número de licenças (assentos) necessárias nesta equipe.
Geralmente igual ao número de vendedores + gerentes.
Insira um número inteiro (ex.: 10, 20).</t>
      </text>
    </comment>
    <comment ref="J50" authorId="0" shapeId="0">
      <text>
        <t>Assentos
Número de licenças (assentos) necessárias nesta equipe.
Geralmente igual ao número de vendedores + gerentes.
Insira um número inteiro (ex.: 10, 20).</t>
      </text>
    </comment>
    <comment ref="K50" authorId="0" shapeId="0">
      <text>
        <t>Assentos
Número de licenças (assentos) necessárias nesta equipe.
Geralmente igual ao número de vendedores + gerentes.
Insira um número inteiro (ex.: 10, 20).</t>
      </text>
    </comment>
    <comment ref="L50" authorId="0" shapeId="0">
      <text>
        <t>Assentos
Número de licenças (assentos) necessárias nesta equipe.
Geralmente igual ao número de vendedores + gerentes.
Insira um número inteiro (ex.: 10, 20).</t>
      </text>
    </comment>
    <comment ref="C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D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E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F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G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H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I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J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K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L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C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D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E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F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G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H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I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J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K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L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C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D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E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F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G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H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I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J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K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L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C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D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E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F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G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H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I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J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K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L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C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D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E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F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G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H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I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J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K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L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95" customWidth="1" style="128" min="2" max="2"/>
    <col width="20" customWidth="1" style="128" min="3" max="3"/>
  </cols>
  <sheetData>
    <row r="1" ht="34.5" customHeight="1" s="129">
      <c r="B1" s="130" t="inlineStr">
        <is>
          <t>Calculadora de ROI Perfecting</t>
        </is>
      </c>
    </row>
    <row r="2" ht="19.5" customHeight="1" s="129">
      <c r="B2" s="131" t="inlineStr">
        <is>
          <t>Versão 4.1 | Baseada no motor auditado v3.1-trajectory-1</t>
        </is>
      </c>
    </row>
    <row r="3" ht="18" customHeight="1" s="129">
      <c r="B3" s="131" t="inlineStr">
        <is>
          <t>Workbook interativo: insira os dados da sua operação de vendas e obtenha ROI, payback e análise de risco em tempo real.</t>
        </is>
      </c>
    </row>
    <row r="4" ht="4.5" customHeight="1" s="129">
      <c r="B4" s="132" t="n"/>
    </row>
    <row r="7" ht="27.75" customHeight="1" s="129">
      <c r="B7" s="133" t="inlineStr">
        <is>
          <t xml:space="preserve">  O QUE ESTE WORKBOOK FAZ</t>
        </is>
      </c>
    </row>
    <row r="8" ht="19.5" customHeight="1" s="129">
      <c r="B8" s="134" t="inlineStr">
        <is>
          <t>Projeta o retorno financeiro da adoção de horas de roleplay da Perfecting para suas equipes de vendas.</t>
        </is>
      </c>
    </row>
    <row r="9" ht="19.5" customHeight="1" s="129">
      <c r="B9" s="134" t="inlineStr">
        <is>
          <t>Todas as células calculadas são fórmulas Excel — altere qualquer input e os resultados atualizam em tempo real.</t>
        </is>
      </c>
    </row>
    <row r="10" ht="27.75" customHeight="1" s="129">
      <c r="B10" s="133" t="inlineStr">
        <is>
          <t xml:space="preserve">  COMO USAR</t>
        </is>
      </c>
    </row>
    <row r="11" ht="19.5" customHeight="1" s="129">
      <c r="B11" s="134" t="inlineStr">
        <is>
          <t>1. Aba Premissas: revise e ajuste parâmetros globais (encargos, tiers de precificação, deltas de cenário, etc.).</t>
        </is>
      </c>
    </row>
    <row r="12" ht="19.5" customHeight="1" s="129">
      <c r="B12" s="134" t="inlineStr">
        <is>
          <t>2. Aba Equipes: insira a configuração da conta e dados por equipe (uma equipe por coluna C-L).</t>
        </is>
      </c>
    </row>
    <row r="13" ht="19.5" customHeight="1" s="129">
      <c r="B13" s="134" t="inlineStr">
        <is>
          <t>3. Aba Motor: cálculo automático — NÃO EDITE. Mostra detalhes por equipe.</t>
        </is>
      </c>
    </row>
    <row r="14" ht="19.5" customHeight="1" s="129">
      <c r="B14" s="134" t="inlineStr">
        <is>
          <t>4. Aba Conta: precificação consolidada, ROI, payback, série de 12 meses, verificação de realismo.</t>
        </is>
      </c>
    </row>
    <row r="15" ht="19.5" customHeight="1" s="129">
      <c r="B15" s="134" t="inlineStr">
        <is>
          <t>5. Aba Comparação de Cenários: veja os 3 cenários lado a lado (Conservador / Realista / Otimista).</t>
        </is>
      </c>
    </row>
    <row r="16" ht="27.75" customHeight="1" s="129">
      <c r="B16" s="133" t="inlineStr">
        <is>
          <t xml:space="preserve">  LEGENDA DE CORES</t>
        </is>
      </c>
    </row>
    <row r="17" ht="19.5" customHeight="1" s="129">
      <c r="B17" s="135" t="inlineStr">
        <is>
          <t>Fonte azul sobre fundo amarelo = seu input (editável)  |  Fonte preta = fórmula  |  Fonte verde = verificação</t>
        </is>
      </c>
    </row>
    <row r="18" ht="27.75" customHeight="1" s="129">
      <c r="B18" s="133" t="inlineStr">
        <is>
          <t xml:space="preserve">  REGRAS DO MOTOR (resumo)</t>
        </is>
      </c>
    </row>
    <row r="19" ht="19.5" customHeight="1" s="129">
      <c r="B19" s="134" t="inlineStr">
        <is>
          <t>* Sem dupla contagem; cada ganho tem teto; rampa, ciclo e conversão carregam desconto anti-otimismo.</t>
        </is>
      </c>
    </row>
    <row r="20" ht="19.5" customHeight="1" s="129">
      <c r="B20" s="134" t="inlineStr">
        <is>
          <t>* Eficiência = custo de camada declarado (contratual), limitado pelo teto do que o plano entrega em horas.</t>
        </is>
      </c>
    </row>
    <row r="21" ht="19.5" customHeight="1" s="129">
      <c r="B21" s="134" t="inlineStr">
        <is>
          <t>* Performance é multiplicada pela cobertura (assentos / vendedores, máx. 1)</t>
        </is>
      </c>
    </row>
    <row r="22" ht="19.5" customHeight="1" s="129">
      <c r="B22" s="134" t="inlineStr">
        <is>
          <t>* Precificação: escada progressiva sobre horas totais da conta (R$98/82/70/60 por tier), piso de R$13.000/mês.</t>
        </is>
      </c>
    </row>
    <row r="23" ht="19.5" customHeight="1" s="129">
      <c r="B23" s="134" t="inlineStr">
        <is>
          <t>* ROI = valor total / investimento total — nunca uma média de ROIs individuais</t>
        </is>
      </c>
    </row>
    <row r="24" ht="19.5" customHeight="1" s="129">
      <c r="B24" s="134" t="inlineStr">
        <is>
          <t>* Um resultado só aparece quando a equipe está completa; a conta só consolida quando todas as equipes ativas estão completas.</t>
        </is>
      </c>
    </row>
    <row r="25" ht="27.75" customHeight="1" s="129">
      <c r="B25" s="133" t="inlineStr">
        <is>
          <t xml:space="preserve">  AVISO LEGAL</t>
        </is>
      </c>
    </row>
    <row r="26" ht="19.5" customHeight="1" s="129">
      <c r="B26" s="135" t="inlineStr">
        <is>
          <t>Esta calculadora projeta cenários a partir de premissas declaradas. Não constitui garantia de resultado.</t>
        </is>
      </c>
    </row>
    <row r="28" ht="15" customHeight="1" s="129">
      <c r="B28" s="136" t="inlineStr">
        <is>
          <t xml:space="preserve">  CONFIGURAÇÃO DO CLIENTE</t>
        </is>
      </c>
    </row>
    <row r="29" ht="15" customHeight="1" s="129">
      <c r="B29" s="137" t="inlineStr">
        <is>
          <t>Cliente</t>
        </is>
      </c>
      <c r="C29" s="138" t="n"/>
    </row>
    <row r="30" ht="15" customHeight="1" s="129">
      <c r="B30" s="137" t="inlineStr">
        <is>
          <t>Contato</t>
        </is>
      </c>
      <c r="C30" s="138" t="n"/>
    </row>
    <row r="31" ht="15" customHeight="1" s="129">
      <c r="B31" s="137" t="inlineStr">
        <is>
          <t>Divisão</t>
        </is>
      </c>
      <c r="C31" s="138" t="n"/>
    </row>
    <row r="32" ht="15" customHeight="1" s="129">
      <c r="B32" s="137" t="inlineStr">
        <is>
          <t>Equipe</t>
        </is>
      </c>
      <c r="C32" s="138" t="n"/>
    </row>
    <row r="33" ht="15" customHeight="1" s="129">
      <c r="B33" s="137" t="inlineStr">
        <is>
          <t>Piloto</t>
        </is>
      </c>
      <c r="C33" s="138" t="n"/>
    </row>
    <row r="34" ht="15" customHeight="1" s="129">
      <c r="B34" s="137" t="inlineStr">
        <is>
          <t>Cadência</t>
        </is>
      </c>
      <c r="C34" s="138" t="n"/>
    </row>
    <row r="35" ht="15" customHeight="1" s="129">
      <c r="B35" s="137" t="inlineStr">
        <is>
          <t>Labs</t>
        </is>
      </c>
      <c r="C35" s="138" t="n"/>
    </row>
    <row r="36" ht="15" customHeight="1" s="129">
      <c r="B36" s="137" t="inlineStr">
        <is>
          <t>Níveis</t>
        </is>
      </c>
      <c r="C36" s="138" t="n"/>
    </row>
    <row r="37" ht="15" customHeight="1" s="129">
      <c r="B37" s="137" t="inlineStr">
        <is>
          <t>Plano</t>
        </is>
      </c>
      <c r="C37" s="138" t="n"/>
    </row>
    <row r="38" ht="15" customHeight="1" s="129">
      <c r="B38" s="137" t="inlineStr">
        <is>
          <t>Assentos</t>
        </is>
      </c>
      <c r="C38" s="138" t="n"/>
    </row>
    <row r="39" ht="15" customHeight="1" s="129">
      <c r="B39" s="137" t="inlineStr">
        <is>
          <t>Estimativas</t>
        </is>
      </c>
      <c r="C39" s="138" t="inlineStr">
        <is>
          <t>Receita, ticket, conversão, margem, rampa, novos contratados, gerentes, salário, ciclo são estimativas (não dados de clientes)</t>
        </is>
      </c>
    </row>
    <row r="40" ht="15" customHeight="1" s="129">
      <c r="B40" s="137" t="inlineStr">
        <is>
          <t>Habilitação compartilhada</t>
        </is>
      </c>
      <c r="C40" s="138" t="n"/>
    </row>
    <row r="41" ht="15" customHeight="1" s="129">
      <c r="B41" s="137" t="inlineStr">
        <is>
          <t>Contratual</t>
        </is>
      </c>
      <c r="C41" s="13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8515625" defaultRowHeight="15" zeroHeight="0" outlineLevelRow="0"/>
  <cols>
    <col width="2.99" customWidth="1" style="128" min="1" max="1"/>
    <col width="19.99" customWidth="1" style="128" min="2" max="2"/>
    <col width="22.01" customWidth="1" style="128" min="3" max="3"/>
    <col width="19.99" customWidth="1" style="128" min="4" max="5"/>
    <col width="16" customWidth="1" style="129" min="5" max="5"/>
    <col width="22.01" customWidth="1" style="128" min="6" max="8"/>
    <col width="16" customWidth="1" style="129" min="7" max="7"/>
    <col width="16" customWidth="1" style="129" min="8" max="8"/>
  </cols>
  <sheetData>
    <row r="1" ht="15" customHeight="1" s="129">
      <c r="B1" s="139" t="inlineStr">
        <is>
          <t>Tabela de Preços por Tier — Perfecting AI</t>
        </is>
      </c>
      <c r="C1" s="140" t="n"/>
      <c r="D1" s="140" t="n"/>
      <c r="E1" s="140" t="n"/>
      <c r="F1" s="140" t="n"/>
      <c r="G1" s="140" t="n"/>
      <c r="H1" s="140" t="n"/>
    </row>
    <row r="2" ht="15" customHeight="1" s="129">
      <c r="B2" s="141" t="inlineStr">
        <is>
          <t>Referência rápida de preços por volume de horas</t>
        </is>
      </c>
    </row>
    <row r="3" ht="15" customHeight="1" s="129">
      <c r="B3" s="142" t="inlineStr">
        <is>
          <t>Cliente: [inserir nome do cliente]</t>
        </is>
      </c>
    </row>
    <row r="5" ht="15" customHeight="1" s="129">
      <c r="B5" s="143" t="inlineStr">
        <is>
          <t>TABELA DE PREÇOS POR HORA</t>
        </is>
      </c>
      <c r="C5" s="140" t="n"/>
      <c r="D5" s="140" t="n"/>
      <c r="E5" s="140" t="n"/>
      <c r="F5" s="140" t="n"/>
      <c r="G5" s="140" t="n"/>
      <c r="H5" s="140" t="n"/>
    </row>
    <row r="6" ht="15" customHeight="1" s="129">
      <c r="B6" s="144" t="inlineStr">
        <is>
          <t>Tier</t>
        </is>
      </c>
      <c r="C6" s="144" t="inlineStr">
        <is>
          <t>Limite Superior (h/mês)</t>
        </is>
      </c>
      <c r="D6" s="144" t="inlineStr">
        <is>
          <t>Preço (R$/h)</t>
        </is>
      </c>
      <c r="E6" s="144" t="inlineStr">
        <is>
          <t>Economia vs Tier 1</t>
        </is>
      </c>
      <c r="F6" s="144" t="inlineStr">
        <is>
          <t>Plano</t>
        </is>
      </c>
      <c r="G6" s="144" t="inlineStr">
        <is>
          <t>Horas/Assento/Mês</t>
        </is>
      </c>
      <c r="H6" s="144" t="inlineStr">
        <is>
          <t>Assentos Necessários</t>
        </is>
      </c>
    </row>
    <row r="7" ht="15" customHeight="1" s="129">
      <c r="B7" s="145" t="inlineStr">
        <is>
          <t>Tier 1</t>
        </is>
      </c>
      <c r="C7" s="146" t="inlineStr">
        <is>
          <t>≤ 262</t>
        </is>
      </c>
      <c r="D7" s="147" t="n">
        <v>98</v>
      </c>
      <c r="E7" s="146" t="inlineStr">
        <is>
          <t>—</t>
        </is>
      </c>
      <c r="F7" s="146" t="inlineStr">
        <is>
          <t>Intensivo</t>
        </is>
      </c>
      <c r="G7" s="146" t="n">
        <v>8</v>
      </c>
      <c r="H7" s="146">
        <f>ROUNDUP(262/8,0)</f>
        <v/>
      </c>
    </row>
    <row r="8" ht="15" customHeight="1" s="129">
      <c r="B8" s="148" t="inlineStr">
        <is>
          <t>Tier 2</t>
        </is>
      </c>
      <c r="C8" s="149" t="inlineStr">
        <is>
          <t>263 – 656</t>
        </is>
      </c>
      <c r="D8" s="150" t="n">
        <v>82</v>
      </c>
      <c r="E8" s="151">
        <f>1-D8/D7</f>
        <v/>
      </c>
      <c r="F8" s="149" t="inlineStr">
        <is>
          <t>Padrão</t>
        </is>
      </c>
      <c r="G8" s="149" t="n">
        <v>4</v>
      </c>
      <c r="H8" s="149">
        <f>ROUNDUP(656/4,0)</f>
        <v/>
      </c>
    </row>
    <row r="9" ht="15" customHeight="1" s="129">
      <c r="B9" s="145" t="inlineStr">
        <is>
          <t>Tier 3</t>
        </is>
      </c>
      <c r="C9" s="146" t="inlineStr">
        <is>
          <t>657 – 1.243</t>
        </is>
      </c>
      <c r="D9" s="147" t="n">
        <v>70</v>
      </c>
      <c r="E9" s="152">
        <f>1-D9/D7</f>
        <v/>
      </c>
      <c r="F9" s="146" t="inlineStr">
        <is>
          <t>Leve</t>
        </is>
      </c>
      <c r="G9" s="146" t="n">
        <v>2</v>
      </c>
      <c r="H9" s="146">
        <f>ROUNDUP(1243/2,0)</f>
        <v/>
      </c>
    </row>
    <row r="10" ht="15" customHeight="1" s="129">
      <c r="B10" s="148" t="inlineStr">
        <is>
          <t>Tier 4</t>
        </is>
      </c>
      <c r="C10" s="149" t="inlineStr">
        <is>
          <t>&gt; 1.243</t>
        </is>
      </c>
      <c r="D10" s="150" t="n">
        <v>60</v>
      </c>
      <c r="E10" s="151">
        <f>1-D10/D7</f>
        <v/>
      </c>
      <c r="F10" s="149" t="inlineStr">
        <is>
          <t>Personalizado</t>
        </is>
      </c>
      <c r="G10" s="149" t="inlineStr">
        <is>
          <t>Variável</t>
        </is>
      </c>
      <c r="H10" s="149">
        <f>ROUNDUP(1243/8,0)</f>
        <v/>
      </c>
    </row>
    <row r="12" ht="15" customHeight="1" s="129">
      <c r="B12" s="143" t="n"/>
    </row>
    <row r="13" ht="15" customHeight="1" s="129">
      <c r="B13" s="144" t="n"/>
      <c r="C13" s="144" t="n"/>
      <c r="D13" s="144" t="n"/>
    </row>
    <row r="14" ht="15" customHeight="1" s="129">
      <c r="B14" s="153" t="n"/>
      <c r="C14" s="154" t="n"/>
      <c r="D14" s="155" t="n"/>
    </row>
    <row r="15" ht="15" customHeight="1" s="129">
      <c r="B15" s="153" t="n"/>
      <c r="C15" s="154" t="n"/>
      <c r="D15" s="155" t="n"/>
    </row>
    <row r="16" ht="15" customHeight="1" s="129">
      <c r="B16" s="153" t="n"/>
      <c r="C16" s="154" t="n"/>
      <c r="D16" s="155" t="n"/>
    </row>
    <row r="17" ht="15" customHeight="1" s="129">
      <c r="B17" s="153" t="n"/>
    </row>
    <row r="18" ht="15" customHeight="1" s="129">
      <c r="B18" s="153" t="n"/>
      <c r="C18" s="154" t="n"/>
      <c r="D18" s="155" t="n"/>
    </row>
    <row r="19" ht="15" customHeight="1" s="129">
      <c r="B19" s="153" t="n"/>
      <c r="C19" s="154" t="n"/>
      <c r="D19" s="155" t="n"/>
    </row>
    <row r="20" ht="15" customHeight="1" s="129">
      <c r="B20" s="153" t="n"/>
      <c r="C20" s="154" t="n"/>
      <c r="D20" s="155" t="n"/>
    </row>
    <row r="21" ht="15" customHeight="1" s="129">
      <c r="B21" s="153" t="n"/>
    </row>
    <row r="22" ht="15" customHeight="1" s="129">
      <c r="B22" s="153" t="n"/>
      <c r="C22" s="154" t="n"/>
      <c r="D22" s="1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4">
    <mergeCell ref="B1:H1"/>
    <mergeCell ref="B3:H3"/>
    <mergeCell ref="B5:H5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G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42" customWidth="1" style="128" min="2" max="2"/>
    <col width="20" customWidth="1" style="128" min="3" max="6"/>
    <col width="14" customWidth="1" style="129" min="4" max="4"/>
    <col width="16" customWidth="1" style="129" min="5" max="5"/>
    <col width="16" customWidth="1" style="129" min="6" max="6"/>
    <col width="54.98" customWidth="1" style="128" min="7" max="7"/>
  </cols>
  <sheetData>
    <row r="1" ht="34.5" customHeight="1" s="129">
      <c r="B1" s="130" t="inlineStr">
        <is>
          <t>Premissas e Constantes</t>
        </is>
      </c>
    </row>
    <row r="2" ht="19.5" customHeight="1" s="129">
      <c r="B2" s="131" t="inlineStr">
        <is>
          <t>Fonte: COGS V1 (ratificado 14/08) | Ajustável pelo usuário</t>
        </is>
      </c>
    </row>
    <row r="3" ht="18" customHeight="1" s="129">
      <c r="B3" s="131" t="inlineStr">
        <is>
          <t>Parâmetros declarados e constantes fixas para o motor de cálculo. Células azul-amarelo são editáveis.</t>
        </is>
      </c>
    </row>
    <row r="4" ht="4.5" customHeight="1" s="129">
      <c r="B4" s="156" t="n"/>
    </row>
    <row r="6" ht="27.75" customHeight="1" s="129">
      <c r="B6" s="133" t="inlineStr">
        <is>
          <t xml:space="preserve">  PREMISSAS DECLARADAS — EDITÁVEIS</t>
        </is>
      </c>
    </row>
    <row r="7" ht="24.75" customHeight="1" s="129">
      <c r="B7" s="157" t="inlineStr">
        <is>
          <t>Parâmetro</t>
        </is>
      </c>
      <c r="C7" s="157" t="inlineStr">
        <is>
          <t>Valor</t>
        </is>
      </c>
      <c r="D7" s="157" t="n"/>
      <c r="E7" s="157" t="inlineStr">
        <is>
          <t>Observações</t>
        </is>
      </c>
      <c r="F7" s="157" t="inlineStr">
        <is>
          <t>Observações</t>
        </is>
      </c>
      <c r="G7" s="157" t="n"/>
    </row>
    <row r="8" ht="19.5" customHeight="1" s="129">
      <c r="B8" s="158" t="inlineStr">
        <is>
          <t>ENCARGOS (multiplicador trabalhista)</t>
        </is>
      </c>
      <c r="C8" s="159" t="n">
        <v>1.75</v>
      </c>
      <c r="D8" s="160" t="n"/>
      <c r="E8" s="161" t="inlineStr">
        <is>
          <t>Cada R$1 de salário custa R$1,75 para a empresa</t>
        </is>
      </c>
      <c r="F8" s="160" t="n"/>
      <c r="G8" s="160" t="n"/>
    </row>
    <row r="9" ht="19.5" customHeight="1" s="129">
      <c r="B9" s="158" t="inlineStr">
        <is>
          <t>JORNADA (horas úteis do gerente/mês)</t>
        </is>
      </c>
      <c r="C9" s="162" t="n">
        <v>200</v>
      </c>
      <c r="D9" s="160" t="n"/>
      <c r="E9" s="161" t="inlineStr">
        <is>
          <t>Horas úteis de um gerente de treinamento por mês</t>
        </is>
      </c>
      <c r="F9" s="160" t="n"/>
      <c r="G9" s="160" t="n"/>
    </row>
    <row r="10" ht="19.5" customHeight="1" s="129">
      <c r="B10" s="158" t="inlineStr">
        <is>
          <t>FATOR_ESCOPO (fallback)</t>
        </is>
      </c>
      <c r="C10" s="163" t="n">
        <v>2.1</v>
      </c>
      <c r="D10" s="160" t="n"/>
      <c r="E10" s="161" t="inlineStr">
        <is>
          <t>Horas de gerente por hora de prática — usado quando declarado fora do intervalo</t>
        </is>
      </c>
      <c r="F10" s="160" t="n"/>
      <c r="G10" s="160" t="n"/>
    </row>
    <row r="11" ht="19.5" customHeight="1" s="129">
      <c r="B11" s="158" t="inlineStr">
        <is>
          <t>SUPERVISAO (residual)</t>
        </is>
      </c>
      <c r="C11" s="164" t="n">
        <v>0.25</v>
      </c>
      <c r="D11" s="160" t="n"/>
      <c r="E11" s="161" t="inlineStr">
        <is>
          <t>Tempo do gerente que continua necessário com a Perfecting</t>
        </is>
      </c>
      <c r="F11" s="160" t="n"/>
      <c r="G11" s="160" t="n"/>
    </row>
    <row r="12" ht="19.5" customHeight="1" s="129">
      <c r="B12" s="158" t="inlineStr">
        <is>
          <t>HAIRCUT_RAMPA</t>
        </is>
      </c>
      <c r="C12" s="164" t="n">
        <v>0.7</v>
      </c>
      <c r="D12" s="160" t="n"/>
      <c r="E12" s="161" t="inlineStr">
        <is>
          <t>Desconto anti-otimismo no ganho de rampa</t>
        </is>
      </c>
      <c r="F12" s="160" t="n"/>
      <c r="G12" s="160" t="n"/>
    </row>
    <row r="13" ht="19.5" customHeight="1" s="129">
      <c r="B13" s="158" t="inlineStr">
        <is>
          <t>HAIRCUT_CICLO</t>
        </is>
      </c>
      <c r="C13" s="164" t="n">
        <v>0.7</v>
      </c>
      <c r="D13" s="160" t="n"/>
      <c r="E13" s="161" t="inlineStr">
        <is>
          <t>Desconto anti-otimismo no ganho de ciclo</t>
        </is>
      </c>
      <c r="F13" s="160" t="n"/>
      <c r="G13" s="160" t="n"/>
    </row>
    <row r="14" ht="19.5" customHeight="1" s="129">
      <c r="B14" s="158" t="inlineStr">
        <is>
          <t>HAIRCUT_CONVERSAO</t>
        </is>
      </c>
      <c r="C14" s="164" t="n">
        <v>0.7</v>
      </c>
      <c r="D14" s="160" t="n"/>
      <c r="E14" s="161" t="inlineStr">
        <is>
          <t>Desconto anti-otimismo no ganho de conversão</t>
        </is>
      </c>
      <c r="F14" s="160" t="n"/>
      <c r="G14" s="160" t="n"/>
    </row>
    <row r="15" ht="19.5" customHeight="1" s="129">
      <c r="B15" s="158" t="inlineStr">
        <is>
          <t>PCT_EVENTO_SUBSTITUIVEL</t>
        </is>
      </c>
      <c r="C15" s="164" t="n">
        <v>0.5</v>
      </c>
      <c r="D15" s="160" t="n"/>
      <c r="E15" s="161" t="inlineStr">
        <is>
          <t>Fração de um evento presencial que é camada de prática</t>
        </is>
      </c>
      <c r="F15" s="160" t="n"/>
      <c r="G15" s="160" t="n"/>
    </row>
    <row r="17" ht="27.75" customHeight="1" s="129">
      <c r="B17" s="133" t="inlineStr">
        <is>
          <t xml:space="preserve">  CONSTANTES FIXAS [ratificado 14/08]</t>
        </is>
      </c>
    </row>
    <row r="18" ht="24.75" customHeight="1" s="129">
      <c r="B18" s="157" t="inlineStr">
        <is>
          <t>Parâmetro</t>
        </is>
      </c>
      <c r="C18" s="157" t="inlineStr">
        <is>
          <t>Valor</t>
        </is>
      </c>
      <c r="D18" s="157" t="n"/>
      <c r="E18" s="157" t="inlineStr">
        <is>
          <t>Observações</t>
        </is>
      </c>
      <c r="F18" s="157" t="inlineStr">
        <is>
          <t>Observações</t>
        </is>
      </c>
      <c r="G18" s="157" t="n"/>
    </row>
    <row r="19" ht="19.5" customHeight="1" s="129">
      <c r="B19" s="158" t="inlineStr">
        <is>
          <t>DIAS_UTEIS_MES</t>
        </is>
      </c>
      <c r="C19" s="162" t="n">
        <v>22</v>
      </c>
      <c r="D19" s="160" t="n"/>
      <c r="E19" s="161" t="inlineStr">
        <is>
          <t>Dias úteis por mês</t>
        </is>
      </c>
      <c r="F19" s="160" t="n"/>
      <c r="G19" s="160" t="n"/>
    </row>
    <row r="20" ht="19.5" customHeight="1" s="129">
      <c r="B20" s="158" t="inlineStr">
        <is>
          <t>DIAS_UTEIS_ANO</t>
        </is>
      </c>
      <c r="C20" s="162" t="n">
        <v>264</v>
      </c>
      <c r="D20" s="160" t="n"/>
      <c r="E20" s="161" t="inlineStr">
        <is>
          <t>Dias úteis por ano</t>
        </is>
      </c>
      <c r="F20" s="160" t="n"/>
      <c r="G20" s="160" t="n"/>
    </row>
    <row r="21" ht="19.5" customHeight="1" s="129">
      <c r="B21" s="158" t="inlineStr">
        <is>
          <t>TAXA_MINIMA (piso mensal)</t>
        </is>
      </c>
      <c r="C21" s="165" t="n">
        <v>13000</v>
      </c>
      <c r="D21" s="160" t="n"/>
      <c r="E21" s="161" t="inlineStr">
        <is>
          <t>Mensalidade mínima para a conta</t>
        </is>
      </c>
      <c r="F21" s="160" t="n"/>
      <c r="G21" s="160" t="n"/>
    </row>
    <row r="22" ht="19.5" customHeight="1" s="129">
      <c r="B22" s="158" t="inlineStr">
        <is>
          <t>Fator de escopo — mínimo</t>
        </is>
      </c>
      <c r="C22" s="164" t="n">
        <v>0.25</v>
      </c>
      <c r="D22" s="160" t="n"/>
      <c r="E22" s="161" t="n"/>
      <c r="F22" s="160" t="n"/>
      <c r="G22" s="160" t="n"/>
    </row>
    <row r="23" ht="19.5" customHeight="1" s="129">
      <c r="B23" s="158" t="inlineStr">
        <is>
          <t>Fator de escopo — máximo</t>
        </is>
      </c>
      <c r="C23" s="163" t="n">
        <v>6</v>
      </c>
      <c r="D23" s="160" t="n"/>
      <c r="E23" s="161" t="n"/>
      <c r="F23" s="160" t="n"/>
      <c r="G23" s="160" t="n"/>
    </row>
    <row r="24" ht="19.5" customHeight="1" s="129">
      <c r="B24" s="158" t="inlineStr">
        <is>
          <t>Receita/vendedor — mínimo esperado</t>
        </is>
      </c>
      <c r="C24" s="166" t="n"/>
      <c r="D24" s="166" t="n"/>
      <c r="E24" s="167" t="n"/>
    </row>
    <row r="25" ht="19.5" customHeight="1" s="129">
      <c r="B25" s="158" t="inlineStr">
        <is>
          <t>Receita/vendedor — máximo esperado</t>
        </is>
      </c>
      <c r="C25" s="166" t="n"/>
      <c r="D25" s="166" t="n"/>
      <c r="E25" s="167" t="n"/>
    </row>
    <row r="26" ht="19.5" customHeight="1" s="129">
      <c r="B26" s="158" t="inlineStr">
        <is>
          <t>Limite de verificação de realismo</t>
        </is>
      </c>
      <c r="C26" s="164" t="n">
        <v>0.25</v>
      </c>
      <c r="D26" s="160" t="n"/>
      <c r="E26" s="161" t="inlineStr">
        <is>
          <t>Ganhos de performance / margem atual — limite</t>
        </is>
      </c>
      <c r="F26" s="160" t="n"/>
      <c r="G26" s="160" t="n"/>
    </row>
    <row r="28" ht="27.75" customHeight="1" s="129">
      <c r="B28" s="133" t="inlineStr">
        <is>
          <t xml:space="preserve">  ESCADA PROGRESSIVA (R$/hora, marginal por tier)</t>
        </is>
      </c>
    </row>
    <row r="29" ht="24.75" customHeight="1" s="129">
      <c r="B29" s="157" t="inlineStr">
        <is>
          <t>Tier</t>
        </is>
      </c>
      <c r="C29" s="157" t="inlineStr">
        <is>
          <t>Limite superior (h/mês)</t>
        </is>
      </c>
      <c r="D29" s="157" t="n"/>
      <c r="E29" s="157" t="inlineStr">
        <is>
          <t>R$/hora</t>
        </is>
      </c>
      <c r="F29" s="157" t="n"/>
      <c r="G29" s="157" t="n"/>
    </row>
    <row r="30" ht="19.5" customHeight="1" s="129">
      <c r="B30" s="158" t="inlineStr">
        <is>
          <t>Tier 1 — até 262 h</t>
        </is>
      </c>
      <c r="C30" s="162" t="n">
        <v>262</v>
      </c>
      <c r="D30" s="160" t="n"/>
      <c r="E30" s="165" t="n">
        <v>98</v>
      </c>
      <c r="F30" s="160" t="n"/>
      <c r="G30" s="160" t="n"/>
    </row>
    <row r="31" ht="19.5" customHeight="1" s="129">
      <c r="B31" s="158" t="inlineStr">
        <is>
          <t>Tier 2 — 263 a 573 h</t>
        </is>
      </c>
      <c r="C31" s="162" t="n">
        <v>573</v>
      </c>
      <c r="D31" s="160" t="n"/>
      <c r="E31" s="165" t="n">
        <v>82</v>
      </c>
      <c r="F31" s="160" t="n"/>
      <c r="G31" s="160" t="n"/>
    </row>
    <row r="32" ht="19.5" customHeight="1" s="129">
      <c r="B32" s="158" t="inlineStr">
        <is>
          <t>Tier 3 — 574 a 1.243 h</t>
        </is>
      </c>
      <c r="C32" s="162" t="n">
        <v>1243</v>
      </c>
      <c r="D32" s="160" t="n"/>
      <c r="E32" s="165" t="n">
        <v>70</v>
      </c>
      <c r="F32" s="160" t="n"/>
      <c r="G32" s="160" t="n"/>
    </row>
    <row r="33" ht="19.5" customHeight="1" s="129">
      <c r="B33" s="158" t="inlineStr">
        <is>
          <t>Tier 4 — acima de 1.243 h</t>
        </is>
      </c>
      <c r="C33" s="162" t="n">
        <v>999999999</v>
      </c>
      <c r="D33" s="160" t="n"/>
      <c r="E33" s="165" t="n">
        <v>60</v>
      </c>
      <c r="F33" s="160" t="n"/>
      <c r="G33" s="160" t="n"/>
    </row>
    <row r="35" ht="27.75" customHeight="1" s="129">
      <c r="B35" s="133" t="inlineStr">
        <is>
          <t xml:space="preserve">  PLANOS (definem consumo, não precificação)</t>
        </is>
      </c>
    </row>
    <row r="36" ht="24.75" customHeight="1" s="129">
      <c r="B36" s="157" t="inlineStr">
        <is>
          <t>Plano</t>
        </is>
      </c>
      <c r="C36" s="157" t="inlineStr">
        <is>
          <t>Horas/assento/mês</t>
        </is>
      </c>
      <c r="D36" s="157" t="n"/>
      <c r="E36" s="157" t="n"/>
      <c r="F36" s="157" t="n"/>
      <c r="G36" s="157" t="n"/>
    </row>
    <row r="37" ht="19.5" customHeight="1" s="129">
      <c r="B37" s="158" t="inlineStr">
        <is>
          <t>Essencial</t>
        </is>
      </c>
      <c r="C37" s="162" t="n">
        <v>2</v>
      </c>
      <c r="D37" s="160" t="n"/>
      <c r="E37" s="160" t="n"/>
      <c r="F37" s="160" t="n"/>
      <c r="G37" s="160" t="n"/>
    </row>
    <row r="38" ht="19.5" customHeight="1" s="129">
      <c r="B38" s="158" t="inlineStr">
        <is>
          <t>Padrão</t>
        </is>
      </c>
      <c r="C38" s="162" t="n">
        <v>4</v>
      </c>
      <c r="D38" s="160" t="n"/>
      <c r="E38" s="160" t="n"/>
      <c r="F38" s="160" t="n"/>
      <c r="G38" s="160" t="n"/>
    </row>
    <row r="39" ht="19.5" customHeight="1" s="129">
      <c r="B39" s="158" t="inlineStr">
        <is>
          <t>Intensivo</t>
        </is>
      </c>
      <c r="C39" s="162" t="n">
        <v>8</v>
      </c>
      <c r="D39" s="160" t="n"/>
      <c r="E39" s="160" t="n"/>
      <c r="F39" s="160" t="n"/>
      <c r="G39" s="160" t="n"/>
    </row>
    <row r="41" ht="27.75" customHeight="1" s="129">
      <c r="B41" s="133" t="inlineStr">
        <is>
          <t xml:space="preserve">  CENÁRIOS (deltas predefinidos)</t>
        </is>
      </c>
    </row>
    <row r="42" ht="24.75" customHeight="1" s="129">
      <c r="B42" s="157" t="inlineStr">
        <is>
          <t>Cenário</t>
        </is>
      </c>
      <c r="C42" s="157" t="inlineStr">
        <is>
          <t>Delta Ticket</t>
        </is>
      </c>
      <c r="D42" s="157" t="inlineStr">
        <is>
          <t>Delta Rampa</t>
        </is>
      </c>
      <c r="E42" s="157" t="inlineStr">
        <is>
          <t>Delta Ciclo</t>
        </is>
      </c>
      <c r="F42" s="157" t="inlineStr">
        <is>
          <t>Delta Conv (p.p.)</t>
        </is>
      </c>
      <c r="G42" s="157" t="n"/>
    </row>
    <row r="43" ht="15" customHeight="1" s="129">
      <c r="B43" s="168" t="inlineStr">
        <is>
          <t>Conservador</t>
        </is>
      </c>
      <c r="C43" s="164" t="n">
        <v>0.05</v>
      </c>
      <c r="D43" s="164" t="n">
        <v>0.2</v>
      </c>
      <c r="E43" s="164" t="n">
        <v>0.05</v>
      </c>
      <c r="F43" s="169" t="n">
        <v>0.5</v>
      </c>
      <c r="G43" s="160" t="n"/>
    </row>
    <row r="44" ht="15" customHeight="1" s="129">
      <c r="B44" s="168" t="inlineStr">
        <is>
          <t>Realista</t>
        </is>
      </c>
      <c r="C44" s="164" t="n">
        <v>0.15</v>
      </c>
      <c r="D44" s="164" t="n">
        <v>0.5</v>
      </c>
      <c r="E44" s="164" t="n">
        <v>0.15</v>
      </c>
      <c r="F44" s="169" t="n">
        <v>2.5</v>
      </c>
      <c r="G44" s="160" t="n"/>
    </row>
    <row r="45" ht="15" customHeight="1" s="129">
      <c r="B45" s="168" t="inlineStr">
        <is>
          <t>Otimista</t>
        </is>
      </c>
      <c r="C45" s="164" t="n">
        <v>0.2</v>
      </c>
      <c r="D45" s="164" t="n">
        <v>0.65</v>
      </c>
      <c r="E45" s="164" t="n">
        <v>0.2</v>
      </c>
      <c r="F45" s="169" t="n">
        <v>3.5</v>
      </c>
      <c r="G45" s="160" t="n"/>
    </row>
    <row r="47" ht="27.75" customHeight="1" s="129">
      <c r="B47" s="133" t="inlineStr">
        <is>
          <t xml:space="preserve">  CONTRATOS (duração compra garantias, não preço)</t>
        </is>
      </c>
    </row>
    <row r="48" ht="24.75" customHeight="1" s="129">
      <c r="B48" s="157" t="inlineStr">
        <is>
          <t>Duração</t>
        </is>
      </c>
      <c r="C48" s="157" t="inlineStr">
        <is>
          <t>Meses</t>
        </is>
      </c>
      <c r="D48" s="157" t="inlineStr">
        <is>
          <t>Desconto</t>
        </is>
      </c>
      <c r="E48" s="157" t="n"/>
      <c r="F48" s="157" t="inlineStr">
        <is>
          <t>Observações</t>
        </is>
      </c>
      <c r="G48" s="157" t="n"/>
    </row>
    <row r="49" ht="19.5" customHeight="1" s="129">
      <c r="B49" s="168" t="inlineStr">
        <is>
          <t>3 meses</t>
        </is>
      </c>
      <c r="C49" s="162" t="n">
        <v>3</v>
      </c>
      <c r="D49" s="164" t="n">
        <v>0</v>
      </c>
      <c r="E49" s="170" t="inlineStr">
        <is>
          <t>Sem compromisso; tarifa vigente na renovação</t>
        </is>
      </c>
      <c r="F49" s="160" t="n"/>
      <c r="G49" s="160" t="n"/>
    </row>
    <row r="50" ht="19.5" customHeight="1" s="129">
      <c r="B50" s="168" t="inlineStr">
        <is>
          <t>6 meses</t>
        </is>
      </c>
      <c r="C50" s="162" t="n">
        <v>6</v>
      </c>
      <c r="D50" s="164" t="n">
        <v>0</v>
      </c>
      <c r="E50" s="170" t="inlineStr">
        <is>
          <t>Meio ano de previsibilidade</t>
        </is>
      </c>
      <c r="F50" s="160" t="n"/>
      <c r="G50" s="160" t="n"/>
    </row>
    <row r="51" ht="19.5" customHeight="1" s="129">
      <c r="B51" s="168" t="inlineStr">
        <is>
          <t>12 meses</t>
        </is>
      </c>
      <c r="C51" s="162" t="n">
        <v>12</v>
      </c>
      <c r="D51" s="164" t="n">
        <v>0</v>
      </c>
      <c r="E51" s="170" t="inlineStr">
        <is>
          <t>Trava ajuste de tarifa</t>
        </is>
      </c>
      <c r="F51" s="160" t="n"/>
      <c r="G51" s="160" t="n"/>
    </row>
    <row r="52" ht="19.5" customHeight="1" s="129">
      <c r="B52" s="168" t="inlineStr">
        <is>
          <t>24 meses</t>
        </is>
      </c>
      <c r="C52" s="162" t="n">
        <v>24</v>
      </c>
      <c r="D52" s="164" t="n">
        <v>0</v>
      </c>
      <c r="E52" s="170" t="inlineStr">
        <is>
          <t>Trava tarifa + um passo de nível de serviço</t>
        </is>
      </c>
      <c r="F52" s="160" t="n"/>
      <c r="G52" s="160" t="n"/>
    </row>
    <row r="54" ht="27.75" customHeight="1" s="129">
      <c r="B54" s="133" t="inlineStr">
        <is>
          <t xml:space="preserve">  DELTAS DO CENÁRIO ATIVO (derivados da aba Equipes — não editar)</t>
        </is>
      </c>
    </row>
    <row r="55" ht="24.75" customHeight="1" s="129">
      <c r="B55" s="157" t="inlineStr">
        <is>
          <t>Parâmetro</t>
        </is>
      </c>
      <c r="C55" s="157" t="inlineStr">
        <is>
          <t>Valor</t>
        </is>
      </c>
      <c r="D55" s="157" t="n"/>
      <c r="E55" s="157" t="inlineStr">
        <is>
          <t>Fonte</t>
        </is>
      </c>
      <c r="F55" s="157" t="inlineStr">
        <is>
          <t>Source</t>
        </is>
      </c>
      <c r="G55" s="157" t="n"/>
    </row>
    <row r="56" ht="19.5" customHeight="1" s="129">
      <c r="B56" s="158" t="inlineStr">
        <is>
          <t>Delta ticket predefinido</t>
        </is>
      </c>
      <c r="C56" s="171">
        <f>INDEX(C43:C45,MATCH(Equipes!$C$7,B43:B45,0))</f>
        <v/>
      </c>
      <c r="D56" s="160" t="n"/>
      <c r="E56" s="160" t="n"/>
      <c r="F56" s="160" t="n"/>
      <c r="G56" s="160" t="n"/>
    </row>
    <row r="57" ht="19.5" customHeight="1" s="129">
      <c r="B57" s="158" t="inlineStr">
        <is>
          <t>Delta rampa predefinido</t>
        </is>
      </c>
      <c r="C57" s="171">
        <f>INDEX(D43:D45,MATCH(Equipes!$C$7,B43:B45,0))</f>
        <v/>
      </c>
      <c r="D57" s="160" t="n"/>
      <c r="E57" s="160" t="n"/>
      <c r="F57" s="160" t="n"/>
      <c r="G57" s="160" t="n"/>
    </row>
    <row r="58" ht="19.5" customHeight="1" s="129">
      <c r="B58" s="158" t="inlineStr">
        <is>
          <t>Delta ciclo predefinido</t>
        </is>
      </c>
      <c r="C58" s="171">
        <f>INDEX(E43:E45,MATCH(Equipes!$C$7,B43:B45,0))</f>
        <v/>
      </c>
      <c r="D58" s="160" t="n"/>
      <c r="E58" s="160" t="n"/>
      <c r="F58" s="160" t="n"/>
      <c r="G58" s="160" t="n"/>
    </row>
    <row r="59" ht="19.5" customHeight="1" s="129">
      <c r="B59" s="158" t="inlineStr">
        <is>
          <t>Delta conversão predefinido (p.p.)</t>
        </is>
      </c>
      <c r="C59" s="172">
        <f>INDEX(F43:F45,MATCH(Equipes!$C$7,B43:B45,0))</f>
        <v/>
      </c>
      <c r="D59" s="160" t="n"/>
      <c r="E59" s="160" t="n"/>
      <c r="F59" s="160" t="n"/>
      <c r="G59" s="160" t="n"/>
    </row>
    <row r="61" ht="27.75" customHeight="1" s="129">
      <c r="B61" s="133" t="inlineStr">
        <is>
          <t xml:space="preserve">  LIMITES DE AJUSTE FINO</t>
        </is>
      </c>
    </row>
    <row r="62" ht="24.75" customHeight="1" s="129">
      <c r="B62" s="157" t="inlineStr">
        <is>
          <t>Parâmetro</t>
        </is>
      </c>
      <c r="C62" s="157" t="inlineStr">
        <is>
          <t>Valor Máximo</t>
        </is>
      </c>
      <c r="D62" s="157" t="n"/>
      <c r="E62" s="157" t="n"/>
      <c r="F62" s="157" t="n"/>
      <c r="G62" s="157" t="n"/>
    </row>
    <row r="63" ht="19.5" customHeight="1" s="129">
      <c r="B63" s="158" t="inlineStr">
        <is>
          <t>Delta ticket máximo</t>
        </is>
      </c>
      <c r="C63" s="173" t="n">
        <v>0.3</v>
      </c>
      <c r="D63" s="160" t="n"/>
      <c r="E63" s="160" t="n"/>
      <c r="F63" s="160" t="n"/>
      <c r="G63" s="160" t="n"/>
    </row>
    <row r="64" ht="19.5" customHeight="1" s="129">
      <c r="B64" s="158" t="inlineStr">
        <is>
          <t>Delta rampa máximo</t>
        </is>
      </c>
      <c r="C64" s="173" t="n">
        <v>0.8</v>
      </c>
      <c r="D64" s="160" t="n"/>
      <c r="E64" s="160" t="n"/>
      <c r="F64" s="160" t="n"/>
      <c r="G64" s="160" t="n"/>
    </row>
    <row r="65" ht="19.5" customHeight="1" s="129">
      <c r="B65" s="158" t="inlineStr">
        <is>
          <t>Delta ciclo máximo</t>
        </is>
      </c>
      <c r="C65" s="173" t="n">
        <v>0.3</v>
      </c>
      <c r="D65" s="160" t="n"/>
      <c r="E65" s="160" t="n"/>
      <c r="F65" s="160" t="n"/>
      <c r="G65" s="160" t="n"/>
    </row>
    <row r="66" ht="19.5" customHeight="1" s="129">
      <c r="B66" s="158" t="inlineStr">
        <is>
          <t>Delta conversão máximo (p.p.)</t>
        </is>
      </c>
      <c r="C66" s="174" t="n">
        <v>5</v>
      </c>
      <c r="D66" s="160" t="n"/>
      <c r="E66" s="160" t="n"/>
      <c r="F66" s="160" t="n"/>
      <c r="G66" s="160" t="n"/>
    </row>
    <row r="68" ht="15" customHeight="1" s="129">
      <c r="B68" s="175" t="inlineStr">
        <is>
          <t>COI — Constantes de Custo da Inação</t>
        </is>
      </c>
    </row>
    <row r="69" ht="15" customHeight="1" s="129">
      <c r="B69" s="134" t="inlineStr">
        <is>
          <t>Delta de atingimento de quota (quota attainment, semanal vs trimestral)</t>
        </is>
      </c>
      <c r="C69" s="176" t="n">
        <v>0.29</v>
      </c>
      <c r="D69" s="177" t="inlineStr">
        <is>
          <t>p.p.</t>
        </is>
      </c>
      <c r="E69" s="135" t="inlineStr">
        <is>
          <t>MySalesCoach 2026</t>
        </is>
      </c>
    </row>
    <row r="70" ht="15" customHeight="1" s="129">
      <c r="B70" s="134" t="inlineStr">
        <is>
          <t>Delta de retenção (com vs sem coaching)</t>
        </is>
      </c>
      <c r="C70" s="176" t="n">
        <v>0.4</v>
      </c>
      <c r="D70" s="177" t="inlineStr">
        <is>
          <t>p.p.</t>
        </is>
      </c>
      <c r="E70" s="135" t="inlineStr">
        <is>
          <t>MySalesCoach 2026: 74% vs 34%</t>
        </is>
      </c>
    </row>
    <row r="71" ht="15" customHeight="1" s="129">
      <c r="B71" s="134" t="inlineStr">
        <is>
          <t>Fator de custo de substituição</t>
        </is>
      </c>
      <c r="C71" s="176" t="n">
        <v>1</v>
      </c>
      <c r="D71" s="177" t="inlineStr">
        <is>
          <t>× salário</t>
        </is>
      </c>
      <c r="E71" s="135" t="inlineStr">
        <is>
          <t>SHRM/Gallup: 50-150%. 1× = conservador</t>
        </is>
      </c>
    </row>
    <row r="72" ht="15" customHeight="1" s="129">
      <c r="B72" s="134" t="inlineStr">
        <is>
          <t>Taxa de "sem decisão" (no decision)</t>
        </is>
      </c>
      <c r="C72" s="176" t="n">
        <v>0.5</v>
      </c>
      <c r="D72" s="177" t="inlineStr">
        <is>
          <t>%</t>
        </is>
      </c>
      <c r="E72" s="135" t="inlineStr">
        <is>
          <t>Dixon/McKenna HBR: 40-60%</t>
        </is>
      </c>
    </row>
    <row r="73" ht="15" customHeight="1" s="129">
      <c r="B73" s="134" t="inlineStr">
        <is>
          <t>Horas de coaching mínimas/vendedor/mês</t>
        </is>
      </c>
      <c r="C73" s="176" t="n">
        <v>2</v>
      </c>
      <c r="D73" s="177" t="inlineStr">
        <is>
          <t>h/mês</t>
        </is>
      </c>
      <c r="E73" s="135" t="inlineStr">
        <is>
          <t>MySalesCoach 2026: mínimo para impacto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5">
    <mergeCell ref="B3:G3"/>
    <mergeCell ref="B2:G2"/>
    <mergeCell ref="B6:F6"/>
    <mergeCell ref="B47:F47"/>
    <mergeCell ref="B54:F54"/>
    <mergeCell ref="B61:G61"/>
    <mergeCell ref="B68:E68"/>
    <mergeCell ref="B1:G1"/>
    <mergeCell ref="B35:G35"/>
    <mergeCell ref="B4:G4"/>
    <mergeCell ref="B25:E25"/>
    <mergeCell ref="B24:E24"/>
    <mergeCell ref="B28:E28"/>
    <mergeCell ref="B17:F17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L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42" customWidth="1" style="128" min="2" max="2"/>
    <col width="17" customWidth="1" style="128" min="3" max="12"/>
    <col width="16" customWidth="1" style="129" min="12" max="12"/>
  </cols>
  <sheetData>
    <row r="1" ht="34.5" customHeight="1" s="129">
      <c r="B1" s="130" t="inlineStr">
        <is>
          <t>Equipes — Insira os Dados da Sua Operação de Vendas</t>
        </is>
      </c>
    </row>
    <row r="2" ht="19.5" customHeight="1" s="129">
      <c r="B2" s="131" t="inlineStr">
        <is>
          <t>Preencha apenas as células amarelas | Fonte azul = seu input</t>
        </is>
      </c>
    </row>
    <row r="3" ht="18" customHeight="1" s="129">
      <c r="B3" s="131" t="inlineStr">
        <is>
          <t>Insira uma equipe por coluna. Equipe sem vendedores é ignorada. Siga os passos numerados.</t>
        </is>
      </c>
    </row>
    <row r="4" ht="4.5" customHeight="1" s="129">
      <c r="B4" s="156" t="n"/>
    </row>
    <row r="6" ht="27.75" customHeight="1" s="129">
      <c r="B6" s="133" t="inlineStr">
        <is>
          <t xml:space="preserve">  CONFIGURAÇÃO DA CONTA</t>
        </is>
      </c>
    </row>
    <row r="7" ht="19.5" customHeight="1" s="129">
      <c r="B7" s="158" t="inlineStr">
        <is>
          <t>Cenário da conta</t>
        </is>
      </c>
      <c r="C7" s="178" t="n"/>
      <c r="D7" s="160" t="n"/>
      <c r="E7" s="160" t="n"/>
      <c r="F7" s="160" t="n"/>
      <c r="G7" s="160" t="n"/>
      <c r="H7" s="160" t="n"/>
      <c r="I7" s="160" t="n"/>
      <c r="J7" s="160" t="n"/>
      <c r="K7" s="160" t="n"/>
      <c r="L7" s="161" t="inlineStr">
        <is>
          <t>Conservador / Realista / Otimista</t>
        </is>
      </c>
    </row>
    <row r="8" ht="19.5" customHeight="1" s="129">
      <c r="B8" s="158" t="inlineStr">
        <is>
          <t>Duração do contrato</t>
        </is>
      </c>
      <c r="C8" s="178" t="n"/>
      <c r="D8" s="160" t="n"/>
      <c r="E8" s="160" t="n"/>
      <c r="F8" s="160" t="n"/>
      <c r="G8" s="160" t="n"/>
      <c r="H8" s="160" t="n"/>
      <c r="I8" s="160" t="n"/>
      <c r="J8" s="160" t="n"/>
      <c r="K8" s="160" t="n"/>
      <c r="L8" s="161" t="inlineStr">
        <is>
          <t>3 / 6 / 12 / 24 months — buys guarantees, not discount</t>
        </is>
      </c>
    </row>
    <row r="9" ht="19.5" customHeight="1" s="129">
      <c r="B9" s="158" t="inlineStr">
        <is>
          <t>Habilitação compartilhada?</t>
        </is>
      </c>
      <c r="C9" s="178" t="n"/>
      <c r="D9" s="160" t="n"/>
      <c r="E9" s="160" t="n"/>
      <c r="F9" s="160" t="n"/>
      <c r="G9" s="160" t="n"/>
      <c r="H9" s="160" t="n"/>
      <c r="I9" s="160" t="n"/>
      <c r="J9" s="160" t="n"/>
      <c r="K9" s="160" t="n"/>
      <c r="L9" s="161" t="inlineStr">
        <is>
          <t>Yes = managers &amp; counterfactual declared once, allocated by seller count</t>
        </is>
      </c>
    </row>
    <row r="10" ht="19.5" customHeight="1" s="129">
      <c r="B10" s="158" t="inlineStr">
        <is>
          <t>Contratual da conta (se compartilhada)</t>
        </is>
      </c>
      <c r="C10" s="179" t="n"/>
      <c r="D10" s="160" t="n"/>
      <c r="E10" s="160" t="n"/>
      <c r="F10" s="160" t="n"/>
      <c r="G10" s="160" t="n"/>
      <c r="H10" s="160" t="n"/>
      <c r="I10" s="160" t="n"/>
      <c r="J10" s="160" t="n"/>
      <c r="K10" s="160" t="n"/>
      <c r="L10" s="161" t="inlineStr">
        <is>
          <t>none / managers / external / event</t>
        </is>
      </c>
    </row>
    <row r="11" ht="19.5" customHeight="1" s="129">
      <c r="B11" s="158" t="inlineStr">
        <is>
          <t>N. gerentes de treinamento (conta)</t>
        </is>
      </c>
      <c r="C11" s="180" t="n"/>
      <c r="D11" s="160" t="n"/>
      <c r="E11" s="160" t="n"/>
      <c r="F11" s="160" t="n"/>
      <c r="G11" s="160" t="n"/>
      <c r="H11" s="160" t="n"/>
      <c r="I11" s="160" t="n"/>
      <c r="J11" s="160" t="n"/>
      <c r="K11" s="160" t="n"/>
      <c r="L11" s="161" t="inlineStr">
        <is>
          <t>allocated by number of sellers</t>
        </is>
      </c>
    </row>
    <row r="12" ht="19.5" customHeight="1" s="129">
      <c r="B12" s="158" t="inlineStr">
        <is>
          <t>Horas treinamento/gerente/mês (conta)</t>
        </is>
      </c>
      <c r="C12" s="181" t="n"/>
      <c r="D12" s="160" t="n"/>
      <c r="E12" s="160" t="n"/>
      <c r="F12" s="160" t="n"/>
      <c r="G12" s="160" t="n"/>
      <c r="H12" s="160" t="n"/>
      <c r="I12" s="160" t="n"/>
      <c r="J12" s="160" t="n"/>
      <c r="K12" s="160" t="n"/>
      <c r="L12" s="161" t="inlineStr">
        <is>
          <t>per manager — NOT allocated</t>
        </is>
      </c>
    </row>
    <row r="13" ht="19.5" customHeight="1" s="129">
      <c r="B13" s="158" t="inlineStr">
        <is>
          <t>Salário mensal do gerente (conta)</t>
        </is>
      </c>
      <c r="C13" s="182" t="n"/>
      <c r="D13" s="160" t="n"/>
      <c r="E13" s="160" t="n"/>
      <c r="F13" s="160" t="n"/>
      <c r="G13" s="160" t="n"/>
      <c r="H13" s="160" t="n"/>
      <c r="I13" s="160" t="n"/>
      <c r="J13" s="160" t="n"/>
      <c r="K13" s="160" t="n"/>
      <c r="L13" s="161" t="inlineStr">
        <is>
          <t>per manager — NOT allocated</t>
        </is>
      </c>
    </row>
    <row r="14" ht="19.5" customHeight="1" s="129">
      <c r="B14" s="158" t="inlineStr">
        <is>
          <t>Custo anual treinamento externo (conta)</t>
        </is>
      </c>
      <c r="C14" s="182" t="n"/>
      <c r="D14" s="160" t="n"/>
      <c r="E14" s="160" t="n"/>
      <c r="F14" s="160" t="n"/>
      <c r="G14" s="160" t="n"/>
      <c r="H14" s="160" t="n"/>
      <c r="I14" s="160" t="n"/>
      <c r="J14" s="160" t="n"/>
      <c r="K14" s="160" t="n"/>
      <c r="L14" s="161" t="inlineStr">
        <is>
          <t>allocated by number of sellers</t>
        </is>
      </c>
    </row>
    <row r="15" ht="19.5" customHeight="1" s="129">
      <c r="B15" s="158" t="inlineStr">
        <is>
          <t>Custo anual evento presencial (conta)</t>
        </is>
      </c>
      <c r="C15" s="182" t="n"/>
      <c r="D15" s="160" t="n"/>
      <c r="E15" s="160" t="n"/>
      <c r="F15" s="160" t="n"/>
      <c r="G15" s="160" t="n"/>
      <c r="H15" s="160" t="n"/>
      <c r="I15" s="160" t="n"/>
      <c r="J15" s="160" t="n"/>
      <c r="K15" s="160" t="n"/>
      <c r="L15" s="161" t="inlineStr">
        <is>
          <t>allocated by number of sellers</t>
        </is>
      </c>
    </row>
    <row r="17" ht="27.75" customHeight="1" s="129">
      <c r="B17" s="133" t="inlineStr">
        <is>
          <t xml:space="preserve">  EQUIPES — UMA POR COLUNA. Equipe sem vendedores é ignorada.</t>
        </is>
      </c>
    </row>
    <row r="18" ht="19.5" customHeight="1" s="129">
      <c r="B18" s="158" t="inlineStr">
        <is>
          <t>Nome da equipe</t>
        </is>
      </c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</row>
    <row r="20" ht="27.75" customHeight="1" s="129">
      <c r="B20" s="133" t="inlineStr">
        <is>
          <t xml:space="preserve">    Passo 1  Estrutura da Equipe</t>
        </is>
      </c>
    </row>
    <row r="21" ht="19.5" customHeight="1" s="129">
      <c r="B21" s="158" t="inlineStr">
        <is>
          <t>Número de vendedores</t>
        </is>
      </c>
      <c r="C21" s="184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</row>
    <row r="22" ht="19.5" customHeight="1" s="129">
      <c r="B22" s="158" t="inlineStr">
        <is>
          <t>Número de gerentes de treinamento</t>
        </is>
      </c>
      <c r="C22" s="184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</row>
    <row r="23" ht="19.5" customHeight="1" s="129">
      <c r="B23" s="158" t="inlineStr">
        <is>
          <t>Horas de treinamento por gerente/mês</t>
        </is>
      </c>
      <c r="C23" s="185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</row>
    <row r="24" ht="19.5" customHeight="1" s="129">
      <c r="B24" s="158" t="inlineStr">
        <is>
          <t>Vendedores cobertos por gerente/mês</t>
        </is>
      </c>
      <c r="C24" s="184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</row>
    <row r="25" ht="19.5" customHeight="1" s="129">
      <c r="B25" s="158" t="inlineStr">
        <is>
          <t>Horas de prática por vendedor coberto (hoje)</t>
        </is>
      </c>
      <c r="C25" s="185" t="n"/>
      <c r="D25" s="181" t="n"/>
      <c r="E25" s="181" t="n"/>
      <c r="F25" s="181" t="n"/>
      <c r="G25" s="181" t="n"/>
      <c r="H25" s="181" t="n"/>
      <c r="I25" s="181" t="n"/>
      <c r="J25" s="181" t="n"/>
      <c r="K25" s="181" t="n"/>
      <c r="L25" s="181" t="n"/>
    </row>
    <row r="26" ht="19.5" customHeight="1" s="129">
      <c r="B26" s="158" t="inlineStr">
        <is>
          <t>Salário mensal do gerente</t>
        </is>
      </c>
      <c r="C26" s="186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</row>
    <row r="28" ht="27.75" customHeight="1" s="129">
      <c r="B28" s="133" t="inlineStr">
        <is>
          <t xml:space="preserve">    Passo 2  Receita</t>
        </is>
      </c>
    </row>
    <row r="29" ht="19.5" customHeight="1" s="129">
      <c r="B29" s="158" t="inlineStr">
        <is>
          <t>Receita mensal da equipe</t>
        </is>
      </c>
      <c r="C29" s="186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</row>
    <row r="30" ht="19.5" customHeight="1" s="129">
      <c r="B30" s="158" t="inlineStr">
        <is>
          <t>Ticket médio</t>
        </is>
      </c>
      <c r="C30" s="186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</row>
    <row r="31" ht="19.5" customHeight="1" s="129">
      <c r="B31" s="158" t="inlineStr">
        <is>
          <t>Taxa de conversão (sobre oportunidades trabalhadas)</t>
        </is>
      </c>
      <c r="C31" s="187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8" t="n"/>
    </row>
    <row r="32" ht="19.5" customHeight="1" s="129">
      <c r="B32" s="158" t="inlineStr">
        <is>
          <t>Margem de contribuição</t>
        </is>
      </c>
      <c r="C32" s="187" t="n"/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8" t="n"/>
    </row>
    <row r="34" ht="27.75" customHeight="1" s="129">
      <c r="B34" s="133" t="inlineStr">
        <is>
          <t xml:space="preserve">    Passo 3  Rampa</t>
        </is>
      </c>
    </row>
    <row r="35" ht="19.5" customHeight="1" s="129">
      <c r="B35" s="158" t="inlineStr">
        <is>
          <t>Duração da rampa (meses)</t>
        </is>
      </c>
      <c r="C35" s="184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</row>
    <row r="36" ht="19.5" customHeight="1" s="129">
      <c r="B36" s="158" t="inlineStr">
        <is>
          <t>Novos vendedores por ano</t>
        </is>
      </c>
      <c r="C36" s="184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</row>
    <row r="37" ht="19.5" customHeight="1" s="129">
      <c r="B37" s="158" t="inlineStr">
        <is>
          <t>Salário mensal do vendedor (OPCIONAL)</t>
        </is>
      </c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</row>
    <row r="39" ht="27.75" customHeight="1" s="129">
      <c r="B39" s="133" t="inlineStr">
        <is>
          <t xml:space="preserve">    Passo 4  Contratual</t>
        </is>
      </c>
    </row>
    <row r="40" ht="19.5" customHeight="1" s="129">
      <c r="B40" s="158" t="inlineStr">
        <is>
          <t>Contratual da equipe</t>
        </is>
      </c>
      <c r="C40" s="183" t="n"/>
      <c r="D40" s="183" t="n"/>
      <c r="E40" s="183" t="n"/>
      <c r="F40" s="183" t="n"/>
      <c r="G40" s="183" t="n"/>
      <c r="H40" s="183" t="n"/>
      <c r="I40" s="183" t="n"/>
      <c r="J40" s="183" t="n"/>
      <c r="K40" s="183" t="n"/>
      <c r="L40" s="183" t="n"/>
    </row>
    <row r="41" ht="19.5" customHeight="1" s="129">
      <c r="B41" s="158" t="inlineStr">
        <is>
          <t>Custo anual treinamento externo</t>
        </is>
      </c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</row>
    <row r="42" ht="19.5" customHeight="1" s="129">
      <c r="B42" s="158" t="inlineStr">
        <is>
          <t>Custo anual evento presencial</t>
        </is>
      </c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</row>
    <row r="44" ht="27.75" customHeight="1" s="129">
      <c r="B44" s="133" t="inlineStr">
        <is>
          <t xml:space="preserve">    Passo 5  Ciclo de Vendas (opcional — insira ambos ou nenhum)</t>
        </is>
      </c>
    </row>
    <row r="45" ht="19.5" customHeight="1" s="129">
      <c r="B45" s="158" t="inlineStr">
        <is>
          <t>Ciclo de vendas atual (dias) — OPCIONAL</t>
        </is>
      </c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</row>
    <row r="46" ht="19.5" customHeight="1" s="129">
      <c r="B46" s="158" t="inlineStr">
        <is>
          <t>Oportunidades mensais recebidas — OPCIONAL</t>
        </is>
      </c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</row>
    <row r="48" ht="27.75" customHeight="1" s="129">
      <c r="B48" s="133" t="inlineStr">
        <is>
          <t xml:space="preserve">    Plano e Assentos</t>
        </is>
      </c>
    </row>
    <row r="49" ht="19.5" customHeight="1" s="129">
      <c r="B49" s="158" t="inlineStr">
        <is>
          <t>Plano</t>
        </is>
      </c>
      <c r="C49" s="183" t="n"/>
      <c r="D49" s="183" t="n"/>
      <c r="E49" s="183" t="n"/>
      <c r="F49" s="183" t="n"/>
      <c r="G49" s="183" t="n"/>
      <c r="H49" s="183" t="n"/>
      <c r="I49" s="183" t="n"/>
      <c r="J49" s="183" t="n"/>
      <c r="K49" s="183" t="n"/>
      <c r="L49" s="183" t="n"/>
    </row>
    <row r="50" ht="19.5" customHeight="1" s="129">
      <c r="B50" s="158" t="inlineStr">
        <is>
          <t>Assentos</t>
        </is>
      </c>
      <c r="C50" s="184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</row>
    <row r="52" ht="27.75" customHeight="1" s="129">
      <c r="B52" s="133" t="inlineStr">
        <is>
          <t xml:space="preserve">    Ajuste Fino (deixe em branco para usar predefinição do cenário)</t>
        </is>
      </c>
    </row>
    <row r="53" ht="19.5" customHeight="1" s="129">
      <c r="B53" s="158" t="inlineStr">
        <is>
          <t>Delta ticket ajuste fino (0-30%)</t>
        </is>
      </c>
      <c r="C53" s="188" t="n"/>
      <c r="D53" s="188" t="n"/>
      <c r="E53" s="188" t="n"/>
      <c r="F53" s="188" t="n"/>
      <c r="G53" s="188" t="n"/>
      <c r="H53" s="188" t="n"/>
      <c r="I53" s="188" t="n"/>
      <c r="J53" s="188" t="n"/>
      <c r="K53" s="188" t="n"/>
      <c r="L53" s="188" t="n"/>
    </row>
    <row r="54" ht="19.5" customHeight="1" s="129">
      <c r="B54" s="158" t="inlineStr">
        <is>
          <t>Delta rampa ajuste fino (0-80%)</t>
        </is>
      </c>
      <c r="C54" s="188" t="n"/>
      <c r="D54" s="188" t="n"/>
      <c r="E54" s="188" t="n"/>
      <c r="F54" s="188" t="n"/>
      <c r="G54" s="188" t="n"/>
      <c r="H54" s="188" t="n"/>
      <c r="I54" s="188" t="n"/>
      <c r="J54" s="188" t="n"/>
      <c r="K54" s="188" t="n"/>
      <c r="L54" s="188" t="n"/>
    </row>
    <row r="55" ht="19.5" customHeight="1" s="129">
      <c r="B55" s="158" t="inlineStr">
        <is>
          <t>Delta ciclo % ajuste fino (0-30%)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</row>
    <row r="56" ht="19.5" customHeight="1" s="129">
      <c r="B56" s="158" t="inlineStr">
        <is>
          <t>Delta ciclo em DIAS ajuste fino</t>
        </is>
      </c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</row>
    <row r="57" ht="19.5" customHeight="1" s="129">
      <c r="B57" s="158" t="inlineStr">
        <is>
          <t>Delta conversão p.p. ajuste fino (0-5 p.p.)</t>
        </is>
      </c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3">
    <mergeCell ref="B4:L4"/>
    <mergeCell ref="B52:L52"/>
    <mergeCell ref="B44:L44"/>
    <mergeCell ref="B48:L48"/>
    <mergeCell ref="B6:L6"/>
    <mergeCell ref="B39:L39"/>
    <mergeCell ref="B3:L3"/>
    <mergeCell ref="B2:L2"/>
    <mergeCell ref="B20:L20"/>
    <mergeCell ref="B34:L34"/>
    <mergeCell ref="B28:L28"/>
    <mergeCell ref="B17:L17"/>
    <mergeCell ref="B1:L1"/>
  </mergeCells>
  <dataValidations count="6">
    <dataValidation sqref="C7" showDropDown="0" showInputMessage="0" showErrorMessage="0" allowBlank="0" errorTitle="Opção inválida" error="Escolha Conservador, Realista ou Otimista" type="list" errorStyle="stop" operator="between">
      <formula1>"Conservador,Realista,Otimista"</formula1>
      <formula2>0</formula2>
    </dataValidation>
    <dataValidation sqref="C8" showDropDown="0" showInputMessage="0" showErrorMessage="0" allowBlank="0" errorTitle="Opção inválida" error="Escolha 3, 6, 12 ou 24 meses" type="list" errorStyle="stop" operator="between">
      <formula1>"3 meses,6 meses,12 meses,24 meses"</formula1>
      <formula2>0</formula2>
    </dataValidation>
    <dataValidation sqref="C9" showDropDown="0" showInputMessage="0" showErrorMessage="0" allowBlank="0" errorTitle="Opção inválida" error="Escolha Sim ou Não" type="list" errorStyle="stop" operator="between">
      <formula1>"Sim,Não"</formula1>
      <formula2>0</formula2>
    </dataValidation>
    <dataValidation sqref="C10" showDropDown="0" showInputMessage="0" showErrorMessage="0" allowBlank="0" errorTitle="Opção inválida" error="Escolha gerentes, treinamento externo, evento ou nenhum" type="list" errorStyle="stop" operator="between">
      <formula1>"gerentes,treinamento externo,evento,nenhum"</formula1>
      <formula2>0</formula2>
    </dataValidation>
    <dataValidation sqref="C40:L40" showDropDown="0" showInputMessage="0" showErrorMessage="0" allowBlank="0" errorTitle="Opção inválida" error="Escolha gerentes, treinamento externo, evento ou nenhum" type="list" errorStyle="stop" operator="between">
      <formula1>"gerentes,treinamento externo,evento,nenhum"</formula1>
      <formula2>0</formula2>
    </dataValidation>
    <dataValidation sqref="C49:L49" showDropDown="0" showInputMessage="0" showErrorMessage="0" allowBlank="0" errorTitle="Opção inválida" error="Escolha Essencial, Padrão, Intensivo ou Personalizado" type="list" errorStyle="stop" operator="between">
      <formula1>"Essencial,Padrão,Intensivo,Personalizado"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L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42" customWidth="1" style="128" min="2" max="2"/>
    <col width="20" customWidth="1" style="128" min="3" max="12"/>
    <col width="16" customWidth="1" style="129" min="4" max="4"/>
    <col width="16" customWidth="1" style="129" min="5" max="5"/>
    <col width="16" customWidth="1" style="129" min="6" max="6"/>
    <col width="16" customWidth="1" style="129" min="7" max="7"/>
    <col width="16" customWidth="1" style="129" min="8" max="8"/>
    <col width="16" customWidth="1" style="129" min="9" max="9"/>
    <col width="16" customWidth="1" style="129" min="10" max="10"/>
    <col width="16" customWidth="1" style="129" min="11" max="11"/>
    <col width="16" customWidth="1" style="129" min="12" max="12"/>
  </cols>
  <sheetData>
    <row r="1" ht="34.5" customHeight="1" s="129">
      <c r="B1" s="130" t="inlineStr">
        <is>
          <t>Motor — Cálculos Automatizados</t>
        </is>
      </c>
    </row>
    <row r="2" ht="19.5" customHeight="1" s="129">
      <c r="B2" s="131" t="inlineStr">
        <is>
          <t>NÃO EDITE | Todos os valores são fórmulas</t>
        </is>
      </c>
    </row>
    <row r="3" ht="18" customHeight="1" s="129">
      <c r="B3" s="131" t="inlineStr">
        <is>
          <t>Cálculos detalhados por equipe. Resultados só aparecem quando a equipe está completa.</t>
        </is>
      </c>
    </row>
    <row r="4" ht="4.5" customHeight="1" s="129">
      <c r="B4" s="156" t="n"/>
    </row>
    <row r="6" ht="27.75" customHeight="1" s="129">
      <c r="B6" s="133" t="inlineStr">
        <is>
          <t xml:space="preserve">  PARÂMETROS DERIVADOS</t>
        </is>
      </c>
    </row>
    <row r="7" ht="19.5" customHeight="1" s="129">
      <c r="B7" s="158" t="inlineStr">
        <is>
          <t>Equipe ativa?</t>
        </is>
      </c>
      <c r="C7" s="190">
        <f>Equipes!C21&gt;0</f>
        <v/>
      </c>
      <c r="D7" s="190">
        <f>Equipes!D21&gt;0</f>
        <v/>
      </c>
      <c r="E7" s="190">
        <f>Equipes!E21&gt;0</f>
        <v/>
      </c>
      <c r="F7" s="190">
        <f>Equipes!F21&gt;0</f>
        <v/>
      </c>
      <c r="G7" s="190">
        <f>Equipes!G21&gt;0</f>
        <v/>
      </c>
      <c r="H7" s="190">
        <f>Equipes!H21&gt;0</f>
        <v/>
      </c>
      <c r="I7" s="190">
        <f>Equipes!I21&gt;0</f>
        <v/>
      </c>
      <c r="J7" s="190">
        <f>Equipes!J21&gt;0</f>
        <v/>
      </c>
      <c r="K7" s="190">
        <f>Equipes!K21&gt;0</f>
        <v/>
      </c>
      <c r="L7" s="190">
        <f>Equipes!L21&gt;0</f>
        <v/>
      </c>
    </row>
    <row r="8" ht="19.5" customHeight="1" s="129">
      <c r="B8" s="158" t="inlineStr">
        <is>
          <t>Proporção de vendedores (se habilitação compart.)</t>
        </is>
      </c>
      <c r="C8" s="190">
        <f>IF(Equipes!$C$9="Sim",IF(SUM(Equipes!$C21:$L21)&gt;0,IF(Equipes!C21&gt;0,Equipes!C21/SUM(Equipes!$C21:$L21),""),""),1)</f>
        <v/>
      </c>
      <c r="D8" s="190">
        <f>IF(Equipes!$C$9="Sim",IF(SUM(Equipes!$C21:$L21)&gt;0,IF(Equipes!D21&gt;0,Equipes!D21/SUM(Equipes!$C21:$L21),""),""),1)</f>
        <v/>
      </c>
      <c r="E8" s="190">
        <f>IF(Equipes!$C$9="Sim",IF(SUM(Equipes!$C21:$L21)&gt;0,IF(Equipes!E21&gt;0,Equipes!E21/SUM(Equipes!$C21:$L21),""),""),1)</f>
        <v/>
      </c>
      <c r="F8" s="190">
        <f>IF(Equipes!$C$9="Sim",IF(SUM(Equipes!$C21:$L21)&gt;0,IF(Equipes!F21&gt;0,Equipes!F21/SUM(Equipes!$C21:$L21),""),""),1)</f>
        <v/>
      </c>
      <c r="G8" s="190">
        <f>IF(Equipes!$C$9="Sim",IF(SUM(Equipes!$C21:$L21)&gt;0,IF(Equipes!G21&gt;0,Equipes!G21/SUM(Equipes!$C21:$L21),""),""),1)</f>
        <v/>
      </c>
      <c r="H8" s="190">
        <f>IF(Equipes!$C$9="Sim",IF(SUM(Equipes!$C21:$L21)&gt;0,IF(Equipes!H21&gt;0,Equipes!H21/SUM(Equipes!$C21:$L21),""),""),1)</f>
        <v/>
      </c>
      <c r="I8" s="190">
        <f>IF(Equipes!$C$9="Sim",IF(SUM(Equipes!$C21:$L21)&gt;0,IF(Equipes!I21&gt;0,Equipes!I21/SUM(Equipes!$C21:$L21),""),""),1)</f>
        <v/>
      </c>
      <c r="J8" s="190">
        <f>IF(Equipes!$C$9="Sim",IF(SUM(Equipes!$C21:$L21)&gt;0,IF(Equipes!J21&gt;0,Equipes!J21/SUM(Equipes!$C21:$L21),""),""),1)</f>
        <v/>
      </c>
      <c r="K8" s="190">
        <f>IF(Equipes!$C$9="Sim",IF(SUM(Equipes!$C21:$L21)&gt;0,IF(Equipes!K21&gt;0,Equipes!K21/SUM(Equipes!$C21:$L21),""),""),1)</f>
        <v/>
      </c>
      <c r="L8" s="190">
        <f>IF(Equipes!$C$9="Sim",IF(SUM(Equipes!$C21:$L21)&gt;0,IF(Equipes!L21&gt;0,Equipes!L21/SUM(Equipes!$C21:$L21),""),""),1)</f>
        <v/>
      </c>
    </row>
    <row r="9" ht="19.5" customHeight="1" s="129">
      <c r="B9" s="158" t="inlineStr">
        <is>
          <t>Gerentes de treinamento</t>
        </is>
      </c>
      <c r="C9" s="191">
        <f>IF(Equipes!$C$9="Sim",IF(AND(N(Equipes!$C$11)&gt;0,ISNUMBER(C8)),Equipes!$C$11*C8,""),IF(Equipes!C22="","",Equipes!C22))</f>
        <v/>
      </c>
      <c r="D9" s="191">
        <f>IF(Equipes!$C$9="Sim",IF(AND(N(Equipes!$C$11)&gt;0,ISNUMBER(D8)),Equipes!$C$11*D8,""),IF(Equipes!D22="","",Equipes!D22))</f>
        <v/>
      </c>
      <c r="E9" s="191">
        <f>IF(Equipes!$C$9="Sim",IF(AND(N(Equipes!$C$11)&gt;0,ISNUMBER(E8)),Equipes!$C$11*E8,""),IF(Equipes!E22="","",Equipes!E22))</f>
        <v/>
      </c>
      <c r="F9" s="191">
        <f>IF(Equipes!$C$9="Sim",IF(AND(N(Equipes!$C$11)&gt;0,ISNUMBER(F8)),Equipes!$C$11*F8,""),IF(Equipes!F22="","",Equipes!F22))</f>
        <v/>
      </c>
      <c r="G9" s="191">
        <f>IF(Equipes!$C$9="Sim",IF(AND(N(Equipes!$C$11)&gt;0,ISNUMBER(G8)),Equipes!$C$11*G8,""),IF(Equipes!G22="","",Equipes!G22))</f>
        <v/>
      </c>
      <c r="H9" s="191">
        <f>IF(Equipes!$C$9="Sim",IF(AND(N(Equipes!$C$11)&gt;0,ISNUMBER(H8)),Equipes!$C$11*H8,""),IF(Equipes!H22="","",Equipes!H22))</f>
        <v/>
      </c>
      <c r="I9" s="191">
        <f>IF(Equipes!$C$9="Sim",IF(AND(N(Equipes!$C$11)&gt;0,ISNUMBER(I8)),Equipes!$C$11*I8,""),IF(Equipes!I22="","",Equipes!I22))</f>
        <v/>
      </c>
      <c r="J9" s="191">
        <f>IF(Equipes!$C$9="Sim",IF(AND(N(Equipes!$C$11)&gt;0,ISNUMBER(J8)),Equipes!$C$11*J8,""),IF(Equipes!J22="","",Equipes!J22))</f>
        <v/>
      </c>
      <c r="K9" s="191">
        <f>IF(Equipes!$C$9="Sim",IF(AND(N(Equipes!$C$11)&gt;0,ISNUMBER(K8)),Equipes!$C$11*K8,""),IF(Equipes!K22="","",Equipes!K22))</f>
        <v/>
      </c>
      <c r="L9" s="191">
        <f>IF(Equipes!$C$9="Sim",IF(AND(N(Equipes!$C$11)&gt;0,ISNUMBER(L8)),Equipes!$C$11*L8,""),IF(Equipes!L22="","",Equipes!L22))</f>
        <v/>
      </c>
    </row>
    <row r="10" ht="19.5" customHeight="1" s="129">
      <c r="B10" s="158" t="inlineStr">
        <is>
          <t>Horas de treinamento/gerente/mês</t>
        </is>
      </c>
      <c r="C10" s="191">
        <f>IF(Equipes!$C$9="Sim",IF(Equipes!$C$12="","",Equipes!$C$12),IF(Equipes!C23="","",Equipes!C23))</f>
        <v/>
      </c>
      <c r="D10" s="191">
        <f>IF(Equipes!$C$9="Sim",IF(Equipes!$C$12="","",Equipes!$C$12),IF(Equipes!D23="","",Equipes!D23))</f>
        <v/>
      </c>
      <c r="E10" s="191">
        <f>IF(Equipes!$C$9="Sim",IF(Equipes!$C$12="","",Equipes!$C$12),IF(Equipes!E23="","",Equipes!E23))</f>
        <v/>
      </c>
      <c r="F10" s="191">
        <f>IF(Equipes!$C$9="Sim",IF(Equipes!$C$12="","",Equipes!$C$12),IF(Equipes!F23="","",Equipes!F23))</f>
        <v/>
      </c>
      <c r="G10" s="191">
        <f>IF(Equipes!$C$9="Sim",IF(Equipes!$C$12="","",Equipes!$C$12),IF(Equipes!G23="","",Equipes!G23))</f>
        <v/>
      </c>
      <c r="H10" s="191">
        <f>IF(Equipes!$C$9="Sim",IF(Equipes!$C$12="","",Equipes!$C$12),IF(Equipes!H23="","",Equipes!H23))</f>
        <v/>
      </c>
      <c r="I10" s="191">
        <f>IF(Equipes!$C$9="Sim",IF(Equipes!$C$12="","",Equipes!$C$12),IF(Equipes!I23="","",Equipes!I23))</f>
        <v/>
      </c>
      <c r="J10" s="191">
        <f>IF(Equipes!$C$9="Sim",IF(Equipes!$C$12="","",Equipes!$C$12),IF(Equipes!J23="","",Equipes!J23))</f>
        <v/>
      </c>
      <c r="K10" s="191">
        <f>IF(Equipes!$C$9="Sim",IF(Equipes!$C$12="","",Equipes!$C$12),IF(Equipes!K23="","",Equipes!K23))</f>
        <v/>
      </c>
      <c r="L10" s="191">
        <f>IF(Equipes!$C$9="Sim",IF(Equipes!$C$12="","",Equipes!$C$12),IF(Equipes!L23="","",Equipes!L23))</f>
        <v/>
      </c>
    </row>
    <row r="11" ht="19.5" customHeight="1" s="129">
      <c r="B11" s="158" t="inlineStr">
        <is>
          <t>Salário mensal do gerente</t>
        </is>
      </c>
      <c r="C11" s="192">
        <f>IF(Equipes!$C$9="Sim",IF(Equipes!$C$13="","",Equipes!$C$13),IF(Equipes!C26="","",Equipes!C26))</f>
        <v/>
      </c>
      <c r="D11" s="192">
        <f>IF(Equipes!$C$9="Sim",IF(Equipes!$C$13="","",Equipes!$C$13),IF(Equipes!D26="","",Equipes!D26))</f>
        <v/>
      </c>
      <c r="E11" s="192">
        <f>IF(Equipes!$C$9="Sim",IF(Equipes!$C$13="","",Equipes!$C$13),IF(Equipes!E26="","",Equipes!E26))</f>
        <v/>
      </c>
      <c r="F11" s="192">
        <f>IF(Equipes!$C$9="Sim",IF(Equipes!$C$13="","",Equipes!$C$13),IF(Equipes!F26="","",Equipes!F26))</f>
        <v/>
      </c>
      <c r="G11" s="192">
        <f>IF(Equipes!$C$9="Sim",IF(Equipes!$C$13="","",Equipes!$C$13),IF(Equipes!G26="","",Equipes!G26))</f>
        <v/>
      </c>
      <c r="H11" s="192">
        <f>IF(Equipes!$C$9="Sim",IF(Equipes!$C$13="","",Equipes!$C$13),IF(Equipes!H26="","",Equipes!H26))</f>
        <v/>
      </c>
      <c r="I11" s="192">
        <f>IF(Equipes!$C$9="Sim",IF(Equipes!$C$13="","",Equipes!$C$13),IF(Equipes!I26="","",Equipes!I26))</f>
        <v/>
      </c>
      <c r="J11" s="192">
        <f>IF(Equipes!$C$9="Sim",IF(Equipes!$C$13="","",Equipes!$C$13),IF(Equipes!J26="","",Equipes!J26))</f>
        <v/>
      </c>
      <c r="K11" s="192">
        <f>IF(Equipes!$C$9="Sim",IF(Equipes!$C$13="","",Equipes!$C$13),IF(Equipes!K26="","",Equipes!K26))</f>
        <v/>
      </c>
      <c r="L11" s="192">
        <f>IF(Equipes!$C$9="Sim",IF(Equipes!$C$13="","",Equipes!$C$13),IF(Equipes!L26="","",Equipes!L26))</f>
        <v/>
      </c>
    </row>
    <row r="12" ht="19.5" customHeight="1" s="129">
      <c r="B12" s="158" t="inlineStr">
        <is>
          <t>Tipo contratual</t>
        </is>
      </c>
      <c r="C12" s="190">
        <f>IF(Equipes!$C$9="Sim",IF(Equipes!$C$10="","",Equipes!$C$10),IF(Equipes!C40="","",Equipes!C40))</f>
        <v/>
      </c>
      <c r="D12" s="190">
        <f>IF(Equipes!$C$9="Sim",IF(Equipes!$C$10="","",Equipes!$C$10),IF(Equipes!D40="","",Equipes!D40))</f>
        <v/>
      </c>
      <c r="E12" s="190">
        <f>IF(Equipes!$C$9="Sim",IF(Equipes!$C$10="","",Equipes!$C$10),IF(Equipes!E40="","",Equipes!E40))</f>
        <v/>
      </c>
      <c r="F12" s="190">
        <f>IF(Equipes!$C$9="Sim",IF(Equipes!$C$10="","",Equipes!$C$10),IF(Equipes!F40="","",Equipes!F40))</f>
        <v/>
      </c>
      <c r="G12" s="190">
        <f>IF(Equipes!$C$9="Sim",IF(Equipes!$C$10="","",Equipes!$C$10),IF(Equipes!G40="","",Equipes!G40))</f>
        <v/>
      </c>
      <c r="H12" s="190">
        <f>IF(Equipes!$C$9="Sim",IF(Equipes!$C$10="","",Equipes!$C$10),IF(Equipes!H40="","",Equipes!H40))</f>
        <v/>
      </c>
      <c r="I12" s="190">
        <f>IF(Equipes!$C$9="Sim",IF(Equipes!$C$10="","",Equipes!$C$10),IF(Equipes!I40="","",Equipes!I40))</f>
        <v/>
      </c>
      <c r="J12" s="190">
        <f>IF(Equipes!$C$9="Sim",IF(Equipes!$C$10="","",Equipes!$C$10),IF(Equipes!J40="","",Equipes!J40))</f>
        <v/>
      </c>
      <c r="K12" s="190">
        <f>IF(Equipes!$C$9="Sim",IF(Equipes!$C$10="","",Equipes!$C$10),IF(Equipes!K40="","",Equipes!K40))</f>
        <v/>
      </c>
      <c r="L12" s="190">
        <f>IF(Equipes!$C$9="Sim",IF(Equipes!$C$10="","",Equipes!$C$10),IF(Equipes!L40="","",Equipes!L40))</f>
        <v/>
      </c>
    </row>
    <row r="13" ht="19.5" customHeight="1" s="129">
      <c r="B13" s="158" t="inlineStr">
        <is>
          <t>Custo anual treinamento externo (conta)</t>
        </is>
      </c>
      <c r="C13" s="192">
        <f>IF(Equipes!$C$9="Sim",IF(AND(N(Equipes!$C$14)&gt;0,ISNUMBER(C8)),Equipes!$C$14*C8,""),IF(Equipes!C41="","",Equipes!C41))</f>
        <v/>
      </c>
      <c r="D13" s="192">
        <f>IF(Equipes!$C$9="Sim",IF(AND(N(Equipes!$C$14)&gt;0,ISNUMBER(D8)),Equipes!$C$14*D8,""),IF(Equipes!D41="","",Equipes!D41))</f>
        <v/>
      </c>
      <c r="E13" s="192">
        <f>IF(Equipes!$C$9="Sim",IF(AND(N(Equipes!$C$14)&gt;0,ISNUMBER(E8)),Equipes!$C$14*E8,""),IF(Equipes!E41="","",Equipes!E41))</f>
        <v/>
      </c>
      <c r="F13" s="192">
        <f>IF(Equipes!$C$9="Sim",IF(AND(N(Equipes!$C$14)&gt;0,ISNUMBER(F8)),Equipes!$C$14*F8,""),IF(Equipes!F41="","",Equipes!F41))</f>
        <v/>
      </c>
      <c r="G13" s="192">
        <f>IF(Equipes!$C$9="Sim",IF(AND(N(Equipes!$C$14)&gt;0,ISNUMBER(G8)),Equipes!$C$14*G8,""),IF(Equipes!G41="","",Equipes!G41))</f>
        <v/>
      </c>
      <c r="H13" s="192">
        <f>IF(Equipes!$C$9="Sim",IF(AND(N(Equipes!$C$14)&gt;0,ISNUMBER(H8)),Equipes!$C$14*H8,""),IF(Equipes!H41="","",Equipes!H41))</f>
        <v/>
      </c>
      <c r="I13" s="192">
        <f>IF(Equipes!$C$9="Sim",IF(AND(N(Equipes!$C$14)&gt;0,ISNUMBER(I8)),Equipes!$C$14*I8,""),IF(Equipes!I41="","",Equipes!I41))</f>
        <v/>
      </c>
      <c r="J13" s="192">
        <f>IF(Equipes!$C$9="Sim",IF(AND(N(Equipes!$C$14)&gt;0,ISNUMBER(J8)),Equipes!$C$14*J8,""),IF(Equipes!J41="","",Equipes!J41))</f>
        <v/>
      </c>
      <c r="K13" s="192">
        <f>IF(Equipes!$C$9="Sim",IF(AND(N(Equipes!$C$14)&gt;0,ISNUMBER(K8)),Equipes!$C$14*K8,""),IF(Equipes!K41="","",Equipes!K41))</f>
        <v/>
      </c>
      <c r="L13" s="192">
        <f>IF(Equipes!$C$9="Sim",IF(AND(N(Equipes!$C$14)&gt;0,ISNUMBER(L8)),Equipes!$C$14*L8,""),IF(Equipes!L41="","",Equipes!L41))</f>
        <v/>
      </c>
    </row>
    <row r="14" ht="19.5" customHeight="1" s="129">
      <c r="B14" s="158" t="inlineStr">
        <is>
          <t>Custo anual evento presencial (conta)</t>
        </is>
      </c>
      <c r="C14" s="192">
        <f>IF(Equipes!$C$9="Sim",IF(AND(N(Equipes!$C$15)&gt;0,ISNUMBER(C8)),Equipes!$C$15*C8,""),IF(Equipes!C42="","",Equipes!C42))</f>
        <v/>
      </c>
      <c r="D14" s="192">
        <f>IF(Equipes!$C$9="Sim",IF(AND(N(Equipes!$C$15)&gt;0,ISNUMBER(D8)),Equipes!$C$15*D8,""),IF(Equipes!D42="","",Equipes!D42))</f>
        <v/>
      </c>
      <c r="E14" s="192">
        <f>IF(Equipes!$C$9="Sim",IF(AND(N(Equipes!$C$15)&gt;0,ISNUMBER(E8)),Equipes!$C$15*E8,""),IF(Equipes!E42="","",Equipes!E42))</f>
        <v/>
      </c>
      <c r="F14" s="192">
        <f>IF(Equipes!$C$9="Sim",IF(AND(N(Equipes!$C$15)&gt;0,ISNUMBER(F8)),Equipes!$C$15*F8,""),IF(Equipes!F42="","",Equipes!F42))</f>
        <v/>
      </c>
      <c r="G14" s="192">
        <f>IF(Equipes!$C$9="Sim",IF(AND(N(Equipes!$C$15)&gt;0,ISNUMBER(G8)),Equipes!$C$15*G8,""),IF(Equipes!G42="","",Equipes!G42))</f>
        <v/>
      </c>
      <c r="H14" s="192">
        <f>IF(Equipes!$C$9="Sim",IF(AND(N(Equipes!$C$15)&gt;0,ISNUMBER(H8)),Equipes!$C$15*H8,""),IF(Equipes!H42="","",Equipes!H42))</f>
        <v/>
      </c>
      <c r="I14" s="192">
        <f>IF(Equipes!$C$9="Sim",IF(AND(N(Equipes!$C$15)&gt;0,ISNUMBER(I8)),Equipes!$C$15*I8,""),IF(Equipes!I42="","",Equipes!I42))</f>
        <v/>
      </c>
      <c r="J14" s="192">
        <f>IF(Equipes!$C$9="Sim",IF(AND(N(Equipes!$C$15)&gt;0,ISNUMBER(J8)),Equipes!$C$15*J8,""),IF(Equipes!J42="","",Equipes!J42))</f>
        <v/>
      </c>
      <c r="K14" s="192">
        <f>IF(Equipes!$C$9="Sim",IF(AND(N(Equipes!$C$15)&gt;0,ISNUMBER(K8)),Equipes!$C$15*K8,""),IF(Equipes!K42="","",Equipes!K42))</f>
        <v/>
      </c>
      <c r="L14" s="192">
        <f>IF(Equipes!$C$9="Sim",IF(AND(N(Equipes!$C$15)&gt;0,ISNUMBER(L8)),Equipes!$C$15*L8,""),IF(Equipes!L42="","",Equipes!L42))</f>
        <v/>
      </c>
    </row>
    <row r="15" ht="19.5" customHeight="1" s="129">
      <c r="B15" s="158" t="inlineStr">
        <is>
          <t>Equipe completa?</t>
        </is>
      </c>
      <c r="C15" s="190">
        <f>AND(Equipes!C21&gt;0,N(C9)&gt;0,N(C10)&gt;0,Equipes!C24&gt;0,Equipes!C25&gt;0,N(C11)&gt;0,Equipes!C29&gt;0,Equipes!C30&gt;0,Equipes!C31&gt;0,Equipes!C32&gt;0,Equipes!C35&gt;0,Equipes!C36&gt;0,Equipes!C50&gt;0,Equipes!C49&lt;&gt;"",C12&lt;&gt;"",IF(C12="treinamento externo",N(C13)&gt;0,TRUE()))</f>
        <v/>
      </c>
      <c r="D15" s="190">
        <f>AND(Equipes!D21&gt;0,N(D9)&gt;0,N(D10)&gt;0,Equipes!D24&gt;0,Equipes!D25&gt;0,N(D11)&gt;0,Equipes!D29&gt;0,Equipes!D30&gt;0,Equipes!D31&gt;0,Equipes!D32&gt;0,Equipes!D35&gt;0,Equipes!D36&gt;0,Equipes!D50&gt;0,Equipes!D49&lt;&gt;"",D12&lt;&gt;"",IF(D12="treinamento externo",N(D13)&gt;0,TRUE()))</f>
        <v/>
      </c>
      <c r="E15" s="190">
        <f>AND(Equipes!E21&gt;0,N(E9)&gt;0,N(E10)&gt;0,Equipes!E24&gt;0,Equipes!E25&gt;0,N(E11)&gt;0,Equipes!E29&gt;0,Equipes!E30&gt;0,Equipes!E31&gt;0,Equipes!E32&gt;0,Equipes!E35&gt;0,Equipes!E36&gt;0,Equipes!E50&gt;0,Equipes!E49&lt;&gt;"",E12&lt;&gt;"",IF(E12="treinamento externo",N(E13)&gt;0,TRUE()))</f>
        <v/>
      </c>
      <c r="F15" s="190">
        <f>AND(Equipes!F21&gt;0,N(F9)&gt;0,N(F10)&gt;0,Equipes!F24&gt;0,Equipes!F25&gt;0,N(F11)&gt;0,Equipes!F29&gt;0,Equipes!F30&gt;0,Equipes!F31&gt;0,Equipes!F32&gt;0,Equipes!F35&gt;0,Equipes!F36&gt;0,Equipes!F50&gt;0,Equipes!F49&lt;&gt;"",F12&lt;&gt;"",IF(F12="treinamento externo",N(F13)&gt;0,TRUE()))</f>
        <v/>
      </c>
      <c r="G15" s="190">
        <f>AND(Equipes!G21&gt;0,N(G9)&gt;0,N(G10)&gt;0,Equipes!G24&gt;0,Equipes!G25&gt;0,N(G11)&gt;0,Equipes!G29&gt;0,Equipes!G30&gt;0,Equipes!G31&gt;0,Equipes!G32&gt;0,Equipes!G35&gt;0,Equipes!G36&gt;0,Equipes!G50&gt;0,Equipes!G49&lt;&gt;"",G12&lt;&gt;"",IF(G12="treinamento externo",N(G13)&gt;0,TRUE()))</f>
        <v/>
      </c>
      <c r="H15" s="190">
        <f>AND(Equipes!H21&gt;0,N(H9)&gt;0,N(H10)&gt;0,Equipes!H24&gt;0,Equipes!H25&gt;0,N(H11)&gt;0,Equipes!H29&gt;0,Equipes!H30&gt;0,Equipes!H31&gt;0,Equipes!H32&gt;0,Equipes!H35&gt;0,Equipes!H36&gt;0,Equipes!H50&gt;0,Equipes!H49&lt;&gt;"",H12&lt;&gt;"",IF(H12="treinamento externo",N(H13)&gt;0,TRUE()))</f>
        <v/>
      </c>
      <c r="I15" s="190">
        <f>AND(Equipes!I21&gt;0,N(I9)&gt;0,N(I10)&gt;0,Equipes!I24&gt;0,Equipes!I25&gt;0,N(I11)&gt;0,Equipes!I29&gt;0,Equipes!I30&gt;0,Equipes!I31&gt;0,Equipes!I32&gt;0,Equipes!I35&gt;0,Equipes!I36&gt;0,Equipes!I50&gt;0,Equipes!I49&lt;&gt;"",I12&lt;&gt;"",IF(I12="treinamento externo",N(I13)&gt;0,TRUE()))</f>
        <v/>
      </c>
      <c r="J15" s="190">
        <f>AND(Equipes!J21&gt;0,N(J9)&gt;0,N(J10)&gt;0,Equipes!J24&gt;0,Equipes!J25&gt;0,N(J11)&gt;0,Equipes!J29&gt;0,Equipes!J30&gt;0,Equipes!J31&gt;0,Equipes!J32&gt;0,Equipes!J35&gt;0,Equipes!J36&gt;0,Equipes!J50&gt;0,Equipes!J49&lt;&gt;"",J12&lt;&gt;"",IF(J12="treinamento externo",N(J13)&gt;0,TRUE()))</f>
        <v/>
      </c>
      <c r="K15" s="190">
        <f>AND(Equipes!K21&gt;0,N(K9)&gt;0,N(K10)&gt;0,Equipes!K24&gt;0,Equipes!K25&gt;0,N(K11)&gt;0,Equipes!K29&gt;0,Equipes!K30&gt;0,Equipes!K31&gt;0,Equipes!K32&gt;0,Equipes!K35&gt;0,Equipes!K36&gt;0,Equipes!K50&gt;0,Equipes!K49&lt;&gt;"",K12&lt;&gt;"",IF(K12="treinamento externo",N(K13)&gt;0,TRUE()))</f>
        <v/>
      </c>
      <c r="L15" s="190">
        <f>AND(Equipes!L21&gt;0,N(L9)&gt;0,N(L10)&gt;0,Equipes!L24&gt;0,Equipes!L25&gt;0,N(L11)&gt;0,Equipes!L29&gt;0,Equipes!L30&gt;0,Equipes!L31&gt;0,Equipes!L32&gt;0,Equipes!L35&gt;0,Equipes!L36&gt;0,Equipes!L50&gt;0,Equipes!L49&lt;&gt;"",L12&lt;&gt;"",IF(L12="treinamento externo",N(L13)&gt;0,TRUE()))</f>
        <v/>
      </c>
    </row>
    <row r="17" ht="27.75" customHeight="1" s="129">
      <c r="B17" s="133" t="inlineStr">
        <is>
          <t>Horas de prática declaradas/mês</t>
        </is>
      </c>
    </row>
    <row r="18" ht="19.5" customHeight="1" s="129">
      <c r="B18" s="158" t="inlineStr">
        <is>
          <t>Horas de prática com Perfecting/mês</t>
        </is>
      </c>
      <c r="C18" s="191">
        <f>IF(Equipes!C49="","",IFERROR(INDEX(Premissas!$C$37:$C$39,MATCH(Equipes!C49,Premissas!$B$37:$B$39,0)),""))</f>
        <v/>
      </c>
      <c r="D18" s="191">
        <f>IF(Equipes!D49="","",IFERROR(INDEX(Premissas!$C$37:$C$39,MATCH(Equipes!D49,Premissas!$B$37:$B$39,0)),""))</f>
        <v/>
      </c>
      <c r="E18" s="191">
        <f>IF(Equipes!E49="","",IFERROR(INDEX(Premissas!$C$37:$C$39,MATCH(Equipes!E49,Premissas!$B$37:$B$39,0)),""))</f>
        <v/>
      </c>
      <c r="F18" s="191">
        <f>IF(Equipes!F49="","",IFERROR(INDEX(Premissas!$C$37:$C$39,MATCH(Equipes!F49,Premissas!$B$37:$B$39,0)),""))</f>
        <v/>
      </c>
      <c r="G18" s="191">
        <f>IF(Equipes!G49="","",IFERROR(INDEX(Premissas!$C$37:$C$39,MATCH(Equipes!G49,Premissas!$B$37:$B$39,0)),""))</f>
        <v/>
      </c>
      <c r="H18" s="191">
        <f>IF(Equipes!H49="","",IFERROR(INDEX(Premissas!$C$37:$C$39,MATCH(Equipes!H49,Premissas!$B$37:$B$39,0)),""))</f>
        <v/>
      </c>
      <c r="I18" s="191">
        <f>IF(Equipes!I49="","",IFERROR(INDEX(Premissas!$C$37:$C$39,MATCH(Equipes!I49,Premissas!$B$37:$B$39,0)),""))</f>
        <v/>
      </c>
      <c r="J18" s="191">
        <f>IF(Equipes!J49="","",IFERROR(INDEX(Premissas!$C$37:$C$39,MATCH(Equipes!J49,Premissas!$B$37:$B$39,0)),""))</f>
        <v/>
      </c>
      <c r="K18" s="191">
        <f>IF(Equipes!K49="","",IFERROR(INDEX(Premissas!$C$37:$C$39,MATCH(Equipes!K49,Premissas!$B$37:$B$39,0)),""))</f>
        <v/>
      </c>
      <c r="L18" s="191">
        <f>IF(Equipes!L49="","",IFERROR(INDEX(Premissas!$C$37:$C$39,MATCH(Equipes!L49,Premissas!$B$37:$B$39,0)),""))</f>
        <v/>
      </c>
    </row>
    <row r="19" ht="19.5" customHeight="1" s="129">
      <c r="B19" s="158" t="inlineStr">
        <is>
          <t>Assentos efetivos</t>
        </is>
      </c>
      <c r="C19" s="193">
        <f>IF(C15,MIN(Equipes!C50,Equipes!C21),"")</f>
        <v/>
      </c>
      <c r="D19" s="193">
        <f>IF(D15,MIN(Equipes!D50,Equipes!D21),"")</f>
        <v/>
      </c>
      <c r="E19" s="193">
        <f>IF(E15,MIN(Equipes!E50,Equipes!E21),"")</f>
        <v/>
      </c>
      <c r="F19" s="193">
        <f>IF(F15,MIN(Equipes!F50,Equipes!F21),"")</f>
        <v/>
      </c>
      <c r="G19" s="193">
        <f>IF(G15,MIN(Equipes!G50,Equipes!G21),"")</f>
        <v/>
      </c>
      <c r="H19" s="193">
        <f>IF(H15,MIN(Equipes!H50,Equipes!H21),"")</f>
        <v/>
      </c>
      <c r="I19" s="193">
        <f>IF(I15,MIN(Equipes!I50,Equipes!I21),"")</f>
        <v/>
      </c>
      <c r="J19" s="193">
        <f>IF(J15,MIN(Equipes!J50,Equipes!J21),"")</f>
        <v/>
      </c>
      <c r="K19" s="193">
        <f>IF(K15,MIN(Equipes!K50,Equipes!K21),"")</f>
        <v/>
      </c>
      <c r="L19" s="193">
        <f>IF(L15,MIN(Equipes!L50,Equipes!L21),"")</f>
        <v/>
      </c>
    </row>
    <row r="20" ht="19.5" customHeight="1" s="129">
      <c r="B20" s="158" t="inlineStr">
        <is>
          <t>Horas da equipe/mês</t>
        </is>
      </c>
      <c r="C20" s="191">
        <f>IF(C15,C19*C18,"")</f>
        <v/>
      </c>
      <c r="D20" s="191">
        <f>IF(D15,D19*D18,"")</f>
        <v/>
      </c>
      <c r="E20" s="191">
        <f>IF(E15,E19*E18,"")</f>
        <v/>
      </c>
      <c r="F20" s="191">
        <f>IF(F15,F19*F18,"")</f>
        <v/>
      </c>
      <c r="G20" s="191">
        <f>IF(G15,G19*G18,"")</f>
        <v/>
      </c>
      <c r="H20" s="191">
        <f>IF(H15,H19*H18,"")</f>
        <v/>
      </c>
      <c r="I20" s="191">
        <f>IF(I15,I19*I18,"")</f>
        <v/>
      </c>
      <c r="J20" s="191">
        <f>IF(J15,J19*J18,"")</f>
        <v/>
      </c>
      <c r="K20" s="191">
        <f>IF(K15,K19*K18,"")</f>
        <v/>
      </c>
      <c r="L20" s="191">
        <f>IF(L15,L19*L18,"")</f>
        <v/>
      </c>
    </row>
    <row r="21" ht="19.5" customHeight="1" s="129">
      <c r="B21" s="158" t="inlineStr">
        <is>
          <t>Custo do gerente por hora</t>
        </is>
      </c>
      <c r="C21" s="194">
        <f>IF(C15,C11*Premissas!$C$8/Premissas!$C$9,"")</f>
        <v/>
      </c>
      <c r="D21" s="194">
        <f>IF(D15,D11*Premissas!$C$8/Premissas!$C$9,"")</f>
        <v/>
      </c>
      <c r="E21" s="194">
        <f>IF(E15,E11*Premissas!$C$8/Premissas!$C$9,"")</f>
        <v/>
      </c>
      <c r="F21" s="194">
        <f>IF(F15,F11*Premissas!$C$8/Premissas!$C$9,"")</f>
        <v/>
      </c>
      <c r="G21" s="194">
        <f>IF(G15,G11*Premissas!$C$8/Premissas!$C$9,"")</f>
        <v/>
      </c>
      <c r="H21" s="194">
        <f>IF(H15,H11*Premissas!$C$8/Premissas!$C$9,"")</f>
        <v/>
      </c>
      <c r="I21" s="194">
        <f>IF(I15,I11*Premissas!$C$8/Premissas!$C$9,"")</f>
        <v/>
      </c>
      <c r="J21" s="194">
        <f>IF(J15,J11*Premissas!$C$8/Premissas!$C$9,"")</f>
        <v/>
      </c>
      <c r="K21" s="194">
        <f>IF(K15,K11*Premissas!$C$8/Premissas!$C$9,"")</f>
        <v/>
      </c>
      <c r="L21" s="194">
        <f>IF(L15,L11*Premissas!$C$8/Premissas!$C$9,"")</f>
        <v/>
      </c>
    </row>
    <row r="22" ht="19.5" customHeight="1" s="129">
      <c r="B22" s="158" t="inlineStr">
        <is>
          <t xml:space="preserve">  FATORES DE PERFORMANCE</t>
        </is>
      </c>
      <c r="C22" s="192">
        <f>IF(C15,Equipes!C29/Equipes!C21,"")</f>
        <v/>
      </c>
      <c r="D22" s="192">
        <f>IF(D15,Equipes!D29/Equipes!D21,"")</f>
        <v/>
      </c>
      <c r="E22" s="192">
        <f>IF(E15,Equipes!E29/Equipes!E21,"")</f>
        <v/>
      </c>
      <c r="F22" s="192">
        <f>IF(F15,Equipes!F29/Equipes!F21,"")</f>
        <v/>
      </c>
      <c r="G22" s="192">
        <f>IF(G15,Equipes!G29/Equipes!G21,"")</f>
        <v/>
      </c>
      <c r="H22" s="192">
        <f>IF(H15,Equipes!H29/Equipes!H21,"")</f>
        <v/>
      </c>
      <c r="I22" s="192">
        <f>IF(I15,Equipes!I29/Equipes!I21,"")</f>
        <v/>
      </c>
      <c r="J22" s="192">
        <f>IF(J15,Equipes!J29/Equipes!J21,"")</f>
        <v/>
      </c>
      <c r="K22" s="192">
        <f>IF(K15,Equipes!K29/Equipes!K21,"")</f>
        <v/>
      </c>
      <c r="L22" s="192">
        <f>IF(L15,Equipes!L29/Equipes!L21,"")</f>
        <v/>
      </c>
    </row>
    <row r="23" ht="19.5" customHeight="1" s="129">
      <c r="B23" s="158" t="inlineStr">
        <is>
          <t>Cobertura (assentos/vendedores, máx. 1)</t>
        </is>
      </c>
      <c r="C23" s="191">
        <f>IF(C15,C10*C9,"")</f>
        <v/>
      </c>
      <c r="D23" s="191">
        <f>IF(D15,D10*D9,"")</f>
        <v/>
      </c>
      <c r="E23" s="191">
        <f>IF(E15,E10*E9,"")</f>
        <v/>
      </c>
      <c r="F23" s="191">
        <f>IF(F15,F10*F9,"")</f>
        <v/>
      </c>
      <c r="G23" s="191">
        <f>IF(G15,G10*G9,"")</f>
        <v/>
      </c>
      <c r="H23" s="191">
        <f>IF(H15,H10*H9,"")</f>
        <v/>
      </c>
      <c r="I23" s="191">
        <f>IF(I15,I10*I9,"")</f>
        <v/>
      </c>
      <c r="J23" s="191">
        <f>IF(J15,J10*J9,"")</f>
        <v/>
      </c>
      <c r="K23" s="191">
        <f>IF(K15,K10*K9,"")</f>
        <v/>
      </c>
      <c r="L23" s="191">
        <f>IF(L15,L10*L9,"")</f>
        <v/>
      </c>
    </row>
    <row r="24" ht="19.5" customHeight="1" s="129">
      <c r="B24" s="158" t="inlineStr">
        <is>
          <t>Delta ticket efetivo</t>
        </is>
      </c>
      <c r="C24" s="193">
        <f>IF(C15,Equipes!C24*C9,"")</f>
        <v/>
      </c>
      <c r="D24" s="193">
        <f>IF(D15,Equipes!D24*D9,"")</f>
        <v/>
      </c>
      <c r="E24" s="193">
        <f>IF(E15,Equipes!E24*E9,"")</f>
        <v/>
      </c>
      <c r="F24" s="193">
        <f>IF(F15,Equipes!F24*F9,"")</f>
        <v/>
      </c>
      <c r="G24" s="193">
        <f>IF(G15,Equipes!G24*G9,"")</f>
        <v/>
      </c>
      <c r="H24" s="193">
        <f>IF(H15,Equipes!H24*H9,"")</f>
        <v/>
      </c>
      <c r="I24" s="193">
        <f>IF(I15,Equipes!I24*I9,"")</f>
        <v/>
      </c>
      <c r="J24" s="193">
        <f>IF(J15,Equipes!J24*J9,"")</f>
        <v/>
      </c>
      <c r="K24" s="193">
        <f>IF(K15,Equipes!K24*K9,"")</f>
        <v/>
      </c>
      <c r="L24" s="193">
        <f>IF(L15,Equipes!L24*L9,"")</f>
        <v/>
      </c>
    </row>
    <row r="25" ht="19.5" customHeight="1" s="129">
      <c r="B25" s="158" t="inlineStr">
        <is>
          <t>Delta rampa efetivo</t>
        </is>
      </c>
      <c r="C25" s="191">
        <f>IF(C15,C24*Equipes!C25,"")</f>
        <v/>
      </c>
      <c r="D25" s="191">
        <f>IF(D15,D24*Equipes!D25,"")</f>
        <v/>
      </c>
      <c r="E25" s="191">
        <f>IF(E15,E24*Equipes!E25,"")</f>
        <v/>
      </c>
      <c r="F25" s="191">
        <f>IF(F15,F24*Equipes!F25,"")</f>
        <v/>
      </c>
      <c r="G25" s="191">
        <f>IF(G15,G24*Equipes!G25,"")</f>
        <v/>
      </c>
      <c r="H25" s="191">
        <f>IF(H15,H24*Equipes!H25,"")</f>
        <v/>
      </c>
      <c r="I25" s="191">
        <f>IF(I15,I24*Equipes!I25,"")</f>
        <v/>
      </c>
      <c r="J25" s="191">
        <f>IF(J15,J24*Equipes!J25,"")</f>
        <v/>
      </c>
      <c r="K25" s="191">
        <f>IF(K15,K24*Equipes!K25,"")</f>
        <v/>
      </c>
      <c r="L25" s="191">
        <f>IF(L15,L24*Equipes!L25,"")</f>
        <v/>
      </c>
    </row>
    <row r="27" ht="27.75" customHeight="1" s="129">
      <c r="B27" s="133" t="inlineStr">
        <is>
          <t>Delta conversão efetivo (p.p.)</t>
        </is>
      </c>
    </row>
    <row r="28" ht="19.5" customHeight="1" s="129">
      <c r="B28" s="158" t="inlineStr">
        <is>
          <t>Fator de escopo declarado</t>
        </is>
      </c>
      <c r="C28" s="195">
        <f>IF(C15,IF(C25&gt;0,C23/C25,""),"")</f>
        <v/>
      </c>
      <c r="D28" s="195">
        <f>IF(D15,IF(D25&gt;0,D23/D25,""),"")</f>
        <v/>
      </c>
      <c r="E28" s="195">
        <f>IF(E15,IF(E25&gt;0,E23/E25,""),"")</f>
        <v/>
      </c>
      <c r="F28" s="195">
        <f>IF(F15,IF(F25&gt;0,F23/F25,""),"")</f>
        <v/>
      </c>
      <c r="G28" s="195">
        <f>IF(G15,IF(G25&gt;0,G23/G25,""),"")</f>
        <v/>
      </c>
      <c r="H28" s="195">
        <f>IF(H15,IF(H25&gt;0,H23/H25,""),"")</f>
        <v/>
      </c>
      <c r="I28" s="195">
        <f>IF(I15,IF(I25&gt;0,I23/I25,""),"")</f>
        <v/>
      </c>
      <c r="J28" s="195">
        <f>IF(J15,IF(J25&gt;0,J23/J25,""),"")</f>
        <v/>
      </c>
      <c r="K28" s="195">
        <f>IF(K15,IF(K25&gt;0,K23/K25,""),"")</f>
        <v/>
      </c>
      <c r="L28" s="195">
        <f>IF(L15,IF(L25&gt;0,L23/L25,""),"")</f>
        <v/>
      </c>
    </row>
    <row r="29" ht="19.5" customHeight="1" s="129">
      <c r="B29" s="158" t="inlineStr">
        <is>
          <t>Fator de escopo fora do intervalo 0,25-6?</t>
        </is>
      </c>
      <c r="C29" s="190">
        <f>IF(C15,IF(ISNUMBER(C28),OR(C28&lt;Premissas!$C$22,C28&gt;Premissas!$C$23),TRUE()),FALSE())</f>
        <v/>
      </c>
      <c r="D29" s="190">
        <f>IF(D15,IF(ISNUMBER(D28),OR(D28&lt;Premissas!$C$22,D28&gt;Premissas!$C$23),TRUE()),FALSE())</f>
        <v/>
      </c>
      <c r="E29" s="190">
        <f>IF(E15,IF(ISNUMBER(E28),OR(E28&lt;Premissas!$C$22,E28&gt;Premissas!$C$23),TRUE()),FALSE())</f>
        <v/>
      </c>
      <c r="F29" s="190">
        <f>IF(F15,IF(ISNUMBER(F28),OR(F28&lt;Premissas!$C$22,F28&gt;Premissas!$C$23),TRUE()),FALSE())</f>
        <v/>
      </c>
      <c r="G29" s="190">
        <f>IF(G15,IF(ISNUMBER(G28),OR(G28&lt;Premissas!$C$22,G28&gt;Premissas!$C$23),TRUE()),FALSE())</f>
        <v/>
      </c>
      <c r="H29" s="190">
        <f>IF(H15,IF(ISNUMBER(H28),OR(H28&lt;Premissas!$C$22,H28&gt;Premissas!$C$23),TRUE()),FALSE())</f>
        <v/>
      </c>
      <c r="I29" s="190">
        <f>IF(I15,IF(ISNUMBER(I28),OR(I28&lt;Premissas!$C$22,I28&gt;Premissas!$C$23),TRUE()),FALSE())</f>
        <v/>
      </c>
      <c r="J29" s="190">
        <f>IF(J15,IF(ISNUMBER(J28),OR(J28&lt;Premissas!$C$22,J28&gt;Premissas!$C$23),TRUE()),FALSE())</f>
        <v/>
      </c>
      <c r="K29" s="190">
        <f>IF(K15,IF(ISNUMBER(K28),OR(K28&lt;Premissas!$C$22,K28&gt;Premissas!$C$23),TRUE()),FALSE())</f>
        <v/>
      </c>
      <c r="L29" s="190">
        <f>IF(L15,IF(ISNUMBER(L28),OR(L28&lt;Premissas!$C$22,L28&gt;Premissas!$C$23),TRUE()),FALSE())</f>
        <v/>
      </c>
    </row>
    <row r="30" ht="19.5" customHeight="1" s="129">
      <c r="B30" s="158" t="inlineStr">
        <is>
          <t>Fator de escopo utilizado</t>
        </is>
      </c>
      <c r="C30" s="195">
        <f>IF(C15,IF(C29,Premissas!$C$10,C28),"")</f>
        <v/>
      </c>
      <c r="D30" s="195">
        <f>IF(D15,IF(D29,Premissas!$C$10,D28),"")</f>
        <v/>
      </c>
      <c r="E30" s="195">
        <f>IF(E15,IF(E29,Premissas!$C$10,E28),"")</f>
        <v/>
      </c>
      <c r="F30" s="195">
        <f>IF(F15,IF(F29,Premissas!$C$10,F28),"")</f>
        <v/>
      </c>
      <c r="G30" s="195">
        <f>IF(G15,IF(G29,Premissas!$C$10,G28),"")</f>
        <v/>
      </c>
      <c r="H30" s="195">
        <f>IF(H15,IF(H29,Premissas!$C$10,H28),"")</f>
        <v/>
      </c>
      <c r="I30" s="195">
        <f>IF(I15,IF(I29,Premissas!$C$10,I28),"")</f>
        <v/>
      </c>
      <c r="J30" s="195">
        <f>IF(J15,IF(J29,Premissas!$C$10,J28),"")</f>
        <v/>
      </c>
      <c r="K30" s="195">
        <f>IF(K15,IF(K29,Premissas!$C$10,K28),"")</f>
        <v/>
      </c>
      <c r="L30" s="195">
        <f>IF(L15,IF(L29,Premissas!$C$10,L28),"")</f>
        <v/>
      </c>
    </row>
    <row r="31" ht="19.5" customHeight="1" s="129">
      <c r="B31" s="158" t="inlineStr">
        <is>
          <t>Origem do fator</t>
        </is>
      </c>
      <c r="C31" s="190">
        <f>IF(C15,IF(C29,"premissa (2,1x)","DADOS DO CLIENTE"),"")</f>
        <v/>
      </c>
      <c r="D31" s="190">
        <f>IF(D15,IF(D29,"premissa (2,1x)","DADOS DO CLIENTE"),"")</f>
        <v/>
      </c>
      <c r="E31" s="190">
        <f>IF(E15,IF(E29,"premissa (2,1x)","DADOS DO CLIENTE"),"")</f>
        <v/>
      </c>
      <c r="F31" s="190">
        <f>IF(F15,IF(F29,"premissa (2,1x)","DADOS DO CLIENTE"),"")</f>
        <v/>
      </c>
      <c r="G31" s="190">
        <f>IF(G15,IF(G29,"premissa (2,1x)","DADOS DO CLIENTE"),"")</f>
        <v/>
      </c>
      <c r="H31" s="190">
        <f>IF(H15,IF(H29,"premissa (2,1x)","DADOS DO CLIENTE"),"")</f>
        <v/>
      </c>
      <c r="I31" s="190">
        <f>IF(I15,IF(I29,"premissa (2,1x)","DADOS DO CLIENTE"),"")</f>
        <v/>
      </c>
      <c r="J31" s="190">
        <f>IF(J15,IF(J29,"premissa (2,1x)","DADOS DO CLIENTE"),"")</f>
        <v/>
      </c>
      <c r="K31" s="190">
        <f>IF(K15,IF(K29,"premissa (2,1x)","DADOS DO CLIENTE"),"")</f>
        <v/>
      </c>
      <c r="L31" s="190">
        <f>IF(L15,IF(L29,"premissa (2,1x)","DADOS DO CLIENTE"),"")</f>
        <v/>
      </c>
    </row>
    <row r="33" ht="27.75" customHeight="1" s="129">
      <c r="B33" s="133" t="inlineStr">
        <is>
          <t xml:space="preserve">  COBERTURA E CUSTO MANUAL</t>
        </is>
      </c>
    </row>
    <row r="34" ht="19.5" customHeight="1" s="129">
      <c r="B34" s="158" t="inlineStr">
        <is>
          <t>Cobertura (assentos/vendedores, máx. 1)</t>
        </is>
      </c>
      <c r="C34" s="171">
        <f>IF(C15,MIN(1,C19/Equipes!C21),"")</f>
        <v/>
      </c>
      <c r="D34" s="171">
        <f>IF(D15,MIN(1,D19/Equipes!D21),"")</f>
        <v/>
      </c>
      <c r="E34" s="171">
        <f>IF(E15,MIN(1,E19/Equipes!E21),"")</f>
        <v/>
      </c>
      <c r="F34" s="171">
        <f>IF(F15,MIN(1,F19/Equipes!F21),"")</f>
        <v/>
      </c>
      <c r="G34" s="171">
        <f>IF(G15,MIN(1,G19/Equipes!G21),"")</f>
        <v/>
      </c>
      <c r="H34" s="171">
        <f>IF(H15,MIN(1,H19/Equipes!H21),"")</f>
        <v/>
      </c>
      <c r="I34" s="171">
        <f>IF(I15,MIN(1,I19/Equipes!I21),"")</f>
        <v/>
      </c>
      <c r="J34" s="171">
        <f>IF(J15,MIN(1,J19/Equipes!J21),"")</f>
        <v/>
      </c>
      <c r="K34" s="171">
        <f>IF(K15,MIN(1,K19/Equipes!K21),"")</f>
        <v/>
      </c>
      <c r="L34" s="171">
        <f>IF(L15,MIN(1,L19/Equipes!L21),"")</f>
        <v/>
      </c>
    </row>
    <row r="35" ht="19.5" customHeight="1" s="129">
      <c r="B35" s="158" t="inlineStr">
        <is>
          <t>Custo manual equivalente/mês</t>
        </is>
      </c>
      <c r="C35" s="192">
        <f>IF(C15,C20*C21*C30,"")</f>
        <v/>
      </c>
      <c r="D35" s="192">
        <f>IF(D15,D20*D21*D30,"")</f>
        <v/>
      </c>
      <c r="E35" s="192">
        <f>IF(E15,E20*E21*E30,"")</f>
        <v/>
      </c>
      <c r="F35" s="192">
        <f>IF(F15,F20*F21*F30,"")</f>
        <v/>
      </c>
      <c r="G35" s="192">
        <f>IF(G15,G20*G21*G30,"")</f>
        <v/>
      </c>
      <c r="H35" s="192">
        <f>IF(H15,H20*H21*H30,"")</f>
        <v/>
      </c>
      <c r="I35" s="192">
        <f>IF(I15,I20*I21*I30,"")</f>
        <v/>
      </c>
      <c r="J35" s="192">
        <f>IF(J15,J20*J21*J30,"")</f>
        <v/>
      </c>
      <c r="K35" s="192">
        <f>IF(K15,K20*K21*K30,"")</f>
        <v/>
      </c>
      <c r="L35" s="192">
        <f>IF(L15,L20*L21*L30,"")</f>
        <v/>
      </c>
    </row>
    <row r="36" ht="19.5" customHeight="1" s="129">
      <c r="B36" s="158" t="inlineStr">
        <is>
          <t>Horas economizadas/mês (auto.)</t>
        </is>
      </c>
      <c r="C36" s="191">
        <f>IF(C15,C20*C30*(1-Premissas!$C$11),"")</f>
        <v/>
      </c>
      <c r="D36" s="191">
        <f>IF(D15,D20*D30*(1-Premissas!$C$11),"")</f>
        <v/>
      </c>
      <c r="E36" s="191">
        <f>IF(E15,E20*E30*(1-Premissas!$C$11),"")</f>
        <v/>
      </c>
      <c r="F36" s="191">
        <f>IF(F15,F20*F30*(1-Premissas!$C$11),"")</f>
        <v/>
      </c>
      <c r="G36" s="191">
        <f>IF(G15,G20*G30*(1-Premissas!$C$11),"")</f>
        <v/>
      </c>
      <c r="H36" s="191">
        <f>IF(H15,H20*H30*(1-Premissas!$C$11),"")</f>
        <v/>
      </c>
      <c r="I36" s="191">
        <f>IF(I15,I20*I30*(1-Premissas!$C$11),"")</f>
        <v/>
      </c>
      <c r="J36" s="191">
        <f>IF(J15,J20*J30*(1-Premissas!$C$11),"")</f>
        <v/>
      </c>
      <c r="K36" s="191">
        <f>IF(K15,K20*K30*(1-Premissas!$C$11),"")</f>
        <v/>
      </c>
      <c r="L36" s="191">
        <f>IF(L15,L20*L30*(1-Premissas!$C$11),"")</f>
        <v/>
      </c>
    </row>
    <row r="38" ht="27.75" customHeight="1" s="129">
      <c r="B38" s="133" t="inlineStr">
        <is>
          <t>Economia de horas/mês</t>
        </is>
      </c>
    </row>
    <row r="39" ht="19.5" customHeight="1" s="129">
      <c r="B39" s="158" t="inlineStr">
        <is>
          <t>Eficiência (R$/ano)</t>
        </is>
      </c>
      <c r="C39" s="192">
        <f>IF(C15,C20*C30*C21*(1-Premissas!$C$11)*12,"")</f>
        <v/>
      </c>
      <c r="D39" s="192">
        <f>IF(D15,D20*D30*D21*(1-Premissas!$C$11)*12,"")</f>
        <v/>
      </c>
      <c r="E39" s="192">
        <f>IF(E15,E20*E30*E21*(1-Premissas!$C$11)*12,"")</f>
        <v/>
      </c>
      <c r="F39" s="192">
        <f>IF(F15,F20*F30*F21*(1-Premissas!$C$11)*12,"")</f>
        <v/>
      </c>
      <c r="G39" s="192">
        <f>IF(G15,G20*G30*G21*(1-Premissas!$C$11)*12,"")</f>
        <v/>
      </c>
      <c r="H39" s="192">
        <f>IF(H15,H20*H30*H21*(1-Premissas!$C$11)*12,"")</f>
        <v/>
      </c>
      <c r="I39" s="192">
        <f>IF(I15,I20*I30*I21*(1-Premissas!$C$11)*12,"")</f>
        <v/>
      </c>
      <c r="J39" s="192">
        <f>IF(J15,J20*J30*J21*(1-Premissas!$C$11)*12,"")</f>
        <v/>
      </c>
      <c r="K39" s="192">
        <f>IF(K15,K20*K30*K21*(1-Premissas!$C$11)*12,"")</f>
        <v/>
      </c>
      <c r="L39" s="192">
        <f>IF(L15,L20*L30*L21*(1-Premissas!$C$11)*12,"")</f>
        <v/>
      </c>
    </row>
    <row r="40" ht="19.5" customHeight="1" s="129">
      <c r="B40" s="158" t="inlineStr">
        <is>
          <t>Custo declarado do caminho (ano)</t>
        </is>
      </c>
      <c r="C40" s="192">
        <f>IF(C15,IF(C12="nenhum",0,IF(C12="gerentes",C10*C9*C21*(1-Premissas!$C$11)*12,IF(C12="treinamento externo",C13*(1-Premissas!$C$11),C14*Premissas!$C$15))),"")</f>
        <v/>
      </c>
      <c r="D40" s="192">
        <f>IF(D15,IF(D12="nenhum",0,IF(D12="gerentes",D10*D9*D21*(1-Premissas!$C$11)*12,IF(D12="treinamento externo",D13*(1-Premissas!$C$11),D14*Premissas!$C$15))),"")</f>
        <v/>
      </c>
      <c r="E40" s="192">
        <f>IF(E15,IF(E12="nenhum",0,IF(E12="gerentes",E10*E9*E21*(1-Premissas!$C$11)*12,IF(E12="treinamento externo",E13*(1-Premissas!$C$11),E14*Premissas!$C$15))),"")</f>
        <v/>
      </c>
      <c r="F40" s="192">
        <f>IF(F15,IF(F12="nenhum",0,IF(F12="gerentes",F10*F9*F21*(1-Premissas!$C$11)*12,IF(F12="treinamento externo",F13*(1-Premissas!$C$11),F14*Premissas!$C$15))),"")</f>
        <v/>
      </c>
      <c r="G40" s="192">
        <f>IF(G15,IF(G12="nenhum",0,IF(G12="gerentes",G10*G9*G21*(1-Premissas!$C$11)*12,IF(G12="treinamento externo",G13*(1-Premissas!$C$11),G14*Premissas!$C$15))),"")</f>
        <v/>
      </c>
      <c r="H40" s="192">
        <f>IF(H15,IF(H12="nenhum",0,IF(H12="gerentes",H10*H9*H21*(1-Premissas!$C$11)*12,IF(H12="treinamento externo",H13*(1-Premissas!$C$11),H14*Premissas!$C$15))),"")</f>
        <v/>
      </c>
      <c r="I40" s="192">
        <f>IF(I15,IF(I12="nenhum",0,IF(I12="gerentes",I10*I9*I21*(1-Premissas!$C$11)*12,IF(I12="treinamento externo",I13*(1-Premissas!$C$11),I14*Premissas!$C$15))),"")</f>
        <v/>
      </c>
      <c r="J40" s="192">
        <f>IF(J15,IF(J12="nenhum",0,IF(J12="gerentes",J10*J9*J21*(1-Premissas!$C$11)*12,IF(J12="treinamento externo",J13*(1-Premissas!$C$11),J14*Premissas!$C$15))),"")</f>
        <v/>
      </c>
      <c r="K40" s="192">
        <f>IF(K15,IF(K12="nenhum",0,IF(K12="gerentes",K10*K9*K21*(1-Premissas!$C$11)*12,IF(K12="treinamento externo",K13*(1-Premissas!$C$11),K14*Premissas!$C$15))),"")</f>
        <v/>
      </c>
      <c r="L40" s="192">
        <f>IF(L15,IF(L12="nenhum",0,IF(L12="gerentes",L10*L9*L21*(1-Premissas!$C$11)*12,IF(L12="treinamento externo",L13*(1-Premissas!$C$11),L14*Premissas!$C$15))),"")</f>
        <v/>
      </c>
    </row>
    <row r="41" ht="19.5" customHeight="1" s="129">
      <c r="B41" s="158" t="inlineStr">
        <is>
          <t>Eficiência (R$/ano)</t>
        </is>
      </c>
      <c r="C41" s="192">
        <f>IF(C15,MIN(C40,C39),"")</f>
        <v/>
      </c>
      <c r="D41" s="192">
        <f>IF(D15,MIN(D40,D39),"")</f>
        <v/>
      </c>
      <c r="E41" s="192">
        <f>IF(E15,MIN(E40,E39),"")</f>
        <v/>
      </c>
      <c r="F41" s="192">
        <f>IF(F15,MIN(F40,F39),"")</f>
        <v/>
      </c>
      <c r="G41" s="192">
        <f>IF(G15,MIN(G40,G39),"")</f>
        <v/>
      </c>
      <c r="H41" s="192">
        <f>IF(H15,MIN(H40,H39),"")</f>
        <v/>
      </c>
      <c r="I41" s="192">
        <f>IF(I15,MIN(I40,I39),"")</f>
        <v/>
      </c>
      <c r="J41" s="192">
        <f>IF(J15,MIN(J40,J39),"")</f>
        <v/>
      </c>
      <c r="K41" s="192">
        <f>IF(K15,MIN(K40,K39),"")</f>
        <v/>
      </c>
      <c r="L41" s="192">
        <f>IF(L15,MIN(L40,L39),"")</f>
        <v/>
      </c>
    </row>
    <row r="42" ht="19.5" customHeight="1" s="129">
      <c r="B42" s="158" t="inlineStr">
        <is>
          <t>Teto de eficiência ativo?</t>
        </is>
      </c>
      <c r="C42" s="190">
        <f>IF(C15,C40&gt;C39,FALSE())</f>
        <v/>
      </c>
      <c r="D42" s="190">
        <f>IF(D15,D40&gt;D39,FALSE())</f>
        <v/>
      </c>
      <c r="E42" s="190">
        <f>IF(E15,E40&gt;E39,FALSE())</f>
        <v/>
      </c>
      <c r="F42" s="190">
        <f>IF(F15,F40&gt;F39,FALSE())</f>
        <v/>
      </c>
      <c r="G42" s="190">
        <f>IF(G15,G40&gt;G39,FALSE())</f>
        <v/>
      </c>
      <c r="H42" s="190">
        <f>IF(H15,H40&gt;H39,FALSE())</f>
        <v/>
      </c>
      <c r="I42" s="190">
        <f>IF(I15,I40&gt;I39,FALSE())</f>
        <v/>
      </c>
      <c r="J42" s="190">
        <f>IF(J15,J40&gt;J39,FALSE())</f>
        <v/>
      </c>
      <c r="K42" s="190">
        <f>IF(K15,K40&gt;K39,FALSE())</f>
        <v/>
      </c>
      <c r="L42" s="190">
        <f>IF(L15,L40&gt;L39,FALSE())</f>
        <v/>
      </c>
    </row>
    <row r="44" ht="27.75" customHeight="1" s="129">
      <c r="B44" s="133" t="inlineStr">
        <is>
          <t>Receita mensal</t>
        </is>
      </c>
    </row>
    <row r="45" ht="19.5" customHeight="1" s="129">
      <c r="B45" s="158" t="inlineStr">
        <is>
          <t>Ticket médio</t>
        </is>
      </c>
      <c r="C45" s="171">
        <f>IF(C15,IF(Equipes!C53="",Premissas!$C$56,MIN(MAX(Equipes!C53,0),Premissas!$C$63)),"")</f>
        <v/>
      </c>
      <c r="D45" s="171">
        <f>IF(D15,IF(Equipes!D53="",Premissas!$C$56,MIN(MAX(Equipes!D53,0),Premissas!$C$63)),"")</f>
        <v/>
      </c>
      <c r="E45" s="171">
        <f>IF(E15,IF(Equipes!E53="",Premissas!$C$56,MIN(MAX(Equipes!E53,0),Premissas!$C$63)),"")</f>
        <v/>
      </c>
      <c r="F45" s="171">
        <f>IF(F15,IF(Equipes!F53="",Premissas!$C$56,MIN(MAX(Equipes!F53,0),Premissas!$C$63)),"")</f>
        <v/>
      </c>
      <c r="G45" s="171">
        <f>IF(G15,IF(Equipes!G53="",Premissas!$C$56,MIN(MAX(Equipes!G53,0),Premissas!$C$63)),"")</f>
        <v/>
      </c>
      <c r="H45" s="171">
        <f>IF(H15,IF(Equipes!H53="",Premissas!$C$56,MIN(MAX(Equipes!H53,0),Premissas!$C$63)),"")</f>
        <v/>
      </c>
      <c r="I45" s="171">
        <f>IF(I15,IF(Equipes!I53="",Premissas!$C$56,MIN(MAX(Equipes!I53,0),Premissas!$C$63)),"")</f>
        <v/>
      </c>
      <c r="J45" s="171">
        <f>IF(J15,IF(Equipes!J53="",Premissas!$C$56,MIN(MAX(Equipes!J53,0),Premissas!$C$63)),"")</f>
        <v/>
      </c>
      <c r="K45" s="171">
        <f>IF(K15,IF(Equipes!K53="",Premissas!$C$56,MIN(MAX(Equipes!K53,0),Premissas!$C$63)),"")</f>
        <v/>
      </c>
      <c r="L45" s="171">
        <f>IF(L15,IF(Equipes!L53="",Premissas!$C$56,MIN(MAX(Equipes!L53,0),Premissas!$C$63)),"")</f>
        <v/>
      </c>
    </row>
    <row r="46" ht="19.5" customHeight="1" s="129">
      <c r="B46" s="158" t="inlineStr">
        <is>
          <t>Margem</t>
        </is>
      </c>
      <c r="C46" s="171">
        <f>IF(C15,IF(Equipes!C54="",Premissas!$C$57,MIN(MAX(Equipes!C54,0),Premissas!$C$64)),"")</f>
        <v/>
      </c>
      <c r="D46" s="171">
        <f>IF(D15,IF(Equipes!D54="",Premissas!$C$57,MIN(MAX(Equipes!D54,0),Premissas!$C$64)),"")</f>
        <v/>
      </c>
      <c r="E46" s="171">
        <f>IF(E15,IF(Equipes!E54="",Premissas!$C$57,MIN(MAX(Equipes!E54,0),Premissas!$C$64)),"")</f>
        <v/>
      </c>
      <c r="F46" s="171">
        <f>IF(F15,IF(Equipes!F54="",Premissas!$C$57,MIN(MAX(Equipes!F54,0),Premissas!$C$64)),"")</f>
        <v/>
      </c>
      <c r="G46" s="171">
        <f>IF(G15,IF(Equipes!G54="",Premissas!$C$57,MIN(MAX(Equipes!G54,0),Premissas!$C$64)),"")</f>
        <v/>
      </c>
      <c r="H46" s="171">
        <f>IF(H15,IF(Equipes!H54="",Premissas!$C$57,MIN(MAX(Equipes!H54,0),Premissas!$C$64)),"")</f>
        <v/>
      </c>
      <c r="I46" s="171">
        <f>IF(I15,IF(Equipes!I54="",Premissas!$C$57,MIN(MAX(Equipes!I54,0),Premissas!$C$64)),"")</f>
        <v/>
      </c>
      <c r="J46" s="171">
        <f>IF(J15,IF(Equipes!J54="",Premissas!$C$57,MIN(MAX(Equipes!J54,0),Premissas!$C$64)),"")</f>
        <v/>
      </c>
      <c r="K46" s="171">
        <f>IF(K15,IF(Equipes!K54="",Premissas!$C$57,MIN(MAX(Equipes!K54,0),Premissas!$C$64)),"")</f>
        <v/>
      </c>
      <c r="L46" s="171">
        <f>IF(L15,IF(Equipes!L54="",Premissas!$C$57,MIN(MAX(Equipes!L54,0),Premissas!$C$64)),"")</f>
        <v/>
      </c>
    </row>
    <row r="47" ht="19.5" customHeight="1" s="129">
      <c r="B47" s="158" t="inlineStr">
        <is>
          <t>Vendas/mês</t>
        </is>
      </c>
      <c r="C47" s="171">
        <f>IF(C15,MIN(Equipes!C31,1),"")</f>
        <v/>
      </c>
      <c r="D47" s="171">
        <f>IF(D15,MIN(Equipes!D31,1),"")</f>
        <v/>
      </c>
      <c r="E47" s="171">
        <f>IF(E15,MIN(Equipes!E31,1),"")</f>
        <v/>
      </c>
      <c r="F47" s="171">
        <f>IF(F15,MIN(Equipes!F31,1),"")</f>
        <v/>
      </c>
      <c r="G47" s="171">
        <f>IF(G15,MIN(Equipes!G31,1),"")</f>
        <v/>
      </c>
      <c r="H47" s="171">
        <f>IF(H15,MIN(Equipes!H31,1),"")</f>
        <v/>
      </c>
      <c r="I47" s="171">
        <f>IF(I15,MIN(Equipes!I31,1),"")</f>
        <v/>
      </c>
      <c r="J47" s="171">
        <f>IF(J15,MIN(Equipes!J31,1),"")</f>
        <v/>
      </c>
      <c r="K47" s="171">
        <f>IF(K15,MIN(Equipes!K31,1),"")</f>
        <v/>
      </c>
      <c r="L47" s="171">
        <f>IF(L15,MIN(Equipes!L31,1),"")</f>
        <v/>
      </c>
    </row>
    <row r="48" ht="19.5" customHeight="1" s="129">
      <c r="B48" s="158" t="inlineStr">
        <is>
          <t>Ganho de ticket/mês</t>
        </is>
      </c>
      <c r="C48" s="172">
        <f>IF(C15,MAX(0,MIN(5,C47*100*0.4,100-C47*100)),"")</f>
        <v/>
      </c>
      <c r="D48" s="172">
        <f>IF(D15,MAX(0,MIN(5,D47*100*0.4,100-D47*100)),"")</f>
        <v/>
      </c>
      <c r="E48" s="172">
        <f>IF(E15,MAX(0,MIN(5,E47*100*0.4,100-E47*100)),"")</f>
        <v/>
      </c>
      <c r="F48" s="172">
        <f>IF(F15,MAX(0,MIN(5,F47*100*0.4,100-F47*100)),"")</f>
        <v/>
      </c>
      <c r="G48" s="172">
        <f>IF(G15,MAX(0,MIN(5,G47*100*0.4,100-G47*100)),"")</f>
        <v/>
      </c>
      <c r="H48" s="172">
        <f>IF(H15,MAX(0,MIN(5,H47*100*0.4,100-H47*100)),"")</f>
        <v/>
      </c>
      <c r="I48" s="172">
        <f>IF(I15,MAX(0,MIN(5,I47*100*0.4,100-I47*100)),"")</f>
        <v/>
      </c>
      <c r="J48" s="172">
        <f>IF(J15,MAX(0,MIN(5,J47*100*0.4,100-J47*100)),"")</f>
        <v/>
      </c>
      <c r="K48" s="172">
        <f>IF(K15,MAX(0,MIN(5,K47*100*0.4,100-K47*100)),"")</f>
        <v/>
      </c>
      <c r="L48" s="172">
        <f>IF(L15,MAX(0,MIN(5,L47*100*0.4,100-L47*100)),"")</f>
        <v/>
      </c>
    </row>
    <row r="49" ht="19.5" customHeight="1" s="129">
      <c r="B49" s="158" t="inlineStr">
        <is>
          <t>Ganho de ticket/ano</t>
        </is>
      </c>
      <c r="C49" s="172">
        <f>IF(C15,IF(Equipes!C57="",Premissas!$C$59,Equipes!C57),"")</f>
        <v/>
      </c>
      <c r="D49" s="172">
        <f>IF(D15,IF(Equipes!D57="",Premissas!$C$59,Equipes!D57),"")</f>
        <v/>
      </c>
      <c r="E49" s="172">
        <f>IF(E15,IF(Equipes!E57="",Premissas!$C$59,Equipes!E57),"")</f>
        <v/>
      </c>
      <c r="F49" s="172">
        <f>IF(F15,IF(Equipes!F57="",Premissas!$C$59,Equipes!F57),"")</f>
        <v/>
      </c>
      <c r="G49" s="172">
        <f>IF(G15,IF(Equipes!G57="",Premissas!$C$59,Equipes!G57),"")</f>
        <v/>
      </c>
      <c r="H49" s="172">
        <f>IF(H15,IF(Equipes!H57="",Premissas!$C$59,Equipes!H57),"")</f>
        <v/>
      </c>
      <c r="I49" s="172">
        <f>IF(I15,IF(Equipes!I57="",Premissas!$C$59,Equipes!I57),"")</f>
        <v/>
      </c>
      <c r="J49" s="172">
        <f>IF(J15,IF(Equipes!J57="",Premissas!$C$59,Equipes!J57),"")</f>
        <v/>
      </c>
      <c r="K49" s="172">
        <f>IF(K15,IF(Equipes!K57="",Premissas!$C$59,Equipes!K57),"")</f>
        <v/>
      </c>
      <c r="L49" s="172">
        <f>IF(L15,IF(Equipes!L57="",Premissas!$C$59,Equipes!L57),"")</f>
        <v/>
      </c>
    </row>
    <row r="50" ht="19.5" customHeight="1" s="129">
      <c r="B50" s="158" t="inlineStr">
        <is>
          <t xml:space="preserve">  GANHO DE RAMPA</t>
        </is>
      </c>
      <c r="C50" s="172">
        <f>IF(C15,MIN(MAX(C49,0),C48),"")</f>
        <v/>
      </c>
      <c r="D50" s="172">
        <f>IF(D15,MIN(MAX(D49,0),D48),"")</f>
        <v/>
      </c>
      <c r="E50" s="172">
        <f>IF(E15,MIN(MAX(E49,0),E48),"")</f>
        <v/>
      </c>
      <c r="F50" s="172">
        <f>IF(F15,MIN(MAX(F49,0),F48),"")</f>
        <v/>
      </c>
      <c r="G50" s="172">
        <f>IF(G15,MIN(MAX(G49,0),G48),"")</f>
        <v/>
      </c>
      <c r="H50" s="172">
        <f>IF(H15,MIN(MAX(H49,0),H48),"")</f>
        <v/>
      </c>
      <c r="I50" s="172">
        <f>IF(I15,MIN(MAX(I49,0),I48),"")</f>
        <v/>
      </c>
      <c r="J50" s="172">
        <f>IF(J15,MIN(MAX(J49,0),J48),"")</f>
        <v/>
      </c>
      <c r="K50" s="172">
        <f>IF(K15,MIN(MAX(K49,0),K48),"")</f>
        <v/>
      </c>
      <c r="L50" s="172">
        <f>IF(L15,MIN(MAX(L49,0),L48),"")</f>
        <v/>
      </c>
    </row>
    <row r="51" ht="19.5" customHeight="1" s="129">
      <c r="B51" s="158" t="inlineStr">
        <is>
          <t>Duração da rampa (meses)</t>
        </is>
      </c>
      <c r="C51" s="171">
        <f>IF(C15,C47+C50/100,"")</f>
        <v/>
      </c>
      <c r="D51" s="171">
        <f>IF(D15,D47+D50/100,"")</f>
        <v/>
      </c>
      <c r="E51" s="171">
        <f>IF(E15,E47+E50/100,"")</f>
        <v/>
      </c>
      <c r="F51" s="171">
        <f>IF(F15,F47+F50/100,"")</f>
        <v/>
      </c>
      <c r="G51" s="171">
        <f>IF(G15,G47+G50/100,"")</f>
        <v/>
      </c>
      <c r="H51" s="171">
        <f>IF(H15,H47+H50/100,"")</f>
        <v/>
      </c>
      <c r="I51" s="171">
        <f>IF(I15,I47+I50/100,"")</f>
        <v/>
      </c>
      <c r="J51" s="171">
        <f>IF(J15,J47+J50/100,"")</f>
        <v/>
      </c>
      <c r="K51" s="171">
        <f>IF(K15,K47+K50/100,"")</f>
        <v/>
      </c>
      <c r="L51" s="171">
        <f>IF(L15,L47+L50/100,"")</f>
        <v/>
      </c>
    </row>
    <row r="52" ht="19.5" customHeight="1" s="129">
      <c r="B52" s="158" t="inlineStr">
        <is>
          <t>Novos vendedores/ano</t>
        </is>
      </c>
      <c r="C52" s="193">
        <f>IF(N(Equipes!C45)&gt;0,Equipes!C45,"")</f>
        <v/>
      </c>
      <c r="D52" s="193">
        <f>IF(N(Equipes!D45)&gt;0,Equipes!D45,"")</f>
        <v/>
      </c>
      <c r="E52" s="193">
        <f>IF(N(Equipes!E45)&gt;0,Equipes!E45,"")</f>
        <v/>
      </c>
      <c r="F52" s="193">
        <f>IF(N(Equipes!F45)&gt;0,Equipes!F45,"")</f>
        <v/>
      </c>
      <c r="G52" s="193">
        <f>IF(N(Equipes!G45)&gt;0,Equipes!G45,"")</f>
        <v/>
      </c>
      <c r="H52" s="193">
        <f>IF(N(Equipes!H45)&gt;0,Equipes!H45,"")</f>
        <v/>
      </c>
      <c r="I52" s="193">
        <f>IF(N(Equipes!I45)&gt;0,Equipes!I45,"")</f>
        <v/>
      </c>
      <c r="J52" s="193">
        <f>IF(N(Equipes!J45)&gt;0,Equipes!J45,"")</f>
        <v/>
      </c>
      <c r="K52" s="193">
        <f>IF(N(Equipes!K45)&gt;0,Equipes!K45,"")</f>
        <v/>
      </c>
      <c r="L52" s="193">
        <f>IF(N(Equipes!L45)&gt;0,Equipes!L45,"")</f>
        <v/>
      </c>
    </row>
    <row r="53" ht="19.5" customHeight="1" s="129">
      <c r="B53" s="158" t="inlineStr">
        <is>
          <t>Meses efetivos de rampa</t>
        </is>
      </c>
      <c r="C53" s="190">
        <f>IF(C15,N(C52)&gt;=7,FALSE())</f>
        <v/>
      </c>
      <c r="D53" s="190">
        <f>IF(D15,N(D52)&gt;=7,FALSE())</f>
        <v/>
      </c>
      <c r="E53" s="190">
        <f>IF(E15,N(E52)&gt;=7,FALSE())</f>
        <v/>
      </c>
      <c r="F53" s="190">
        <f>IF(F15,N(F52)&gt;=7,FALSE())</f>
        <v/>
      </c>
      <c r="G53" s="190">
        <f>IF(G15,N(G52)&gt;=7,FALSE())</f>
        <v/>
      </c>
      <c r="H53" s="190">
        <f>IF(H15,N(H52)&gt;=7,FALSE())</f>
        <v/>
      </c>
      <c r="I53" s="190">
        <f>IF(I15,N(I52)&gt;=7,FALSE())</f>
        <v/>
      </c>
      <c r="J53" s="190">
        <f>IF(J15,N(J52)&gt;=7,FALSE())</f>
        <v/>
      </c>
      <c r="K53" s="190">
        <f>IF(K15,N(K52)&gt;=7,FALSE())</f>
        <v/>
      </c>
      <c r="L53" s="190">
        <f>IF(L15,N(L52)&gt;=7,FALSE())</f>
        <v/>
      </c>
    </row>
    <row r="54" ht="19.5" customHeight="1" s="129">
      <c r="B54" s="158" t="inlineStr">
        <is>
          <t>Ganho de rampa/mês</t>
        </is>
      </c>
      <c r="C54" s="193">
        <f>IF(C53,ROUND(C52*0.3,0),"")</f>
        <v/>
      </c>
      <c r="D54" s="193">
        <f>IF(D53,ROUND(D52*0.3,0),"")</f>
        <v/>
      </c>
      <c r="E54" s="193">
        <f>IF(E53,ROUND(E52*0.3,0),"")</f>
        <v/>
      </c>
      <c r="F54" s="193">
        <f>IF(F53,ROUND(F52*0.3,0),"")</f>
        <v/>
      </c>
      <c r="G54" s="193">
        <f>IF(G53,ROUND(G52*0.3,0),"")</f>
        <v/>
      </c>
      <c r="H54" s="193">
        <f>IF(H53,ROUND(H52*0.3,0),"")</f>
        <v/>
      </c>
      <c r="I54" s="193">
        <f>IF(I53,ROUND(I52*0.3,0),"")</f>
        <v/>
      </c>
      <c r="J54" s="193">
        <f>IF(J53,ROUND(J52*0.3,0),"")</f>
        <v/>
      </c>
      <c r="K54" s="193">
        <f>IF(K53,ROUND(K52*0.3,0),"")</f>
        <v/>
      </c>
      <c r="L54" s="193">
        <f>IF(L53,ROUND(L52*0.3,0),"")</f>
        <v/>
      </c>
    </row>
    <row r="55" ht="19.5" customHeight="1" s="129">
      <c r="B55" s="158" t="inlineStr">
        <is>
          <t>Ganho de rampa/ano</t>
        </is>
      </c>
      <c r="C55" s="193">
        <f>IF(C53,IF(Equipes!C56="",MAX(1,ROUND(C52*Premissas!$C$58,0)),MIN(MAX(ROUND(Equipes!C56,0),0),C54)),"")</f>
        <v/>
      </c>
      <c r="D55" s="193">
        <f>IF(D53,IF(Equipes!D56="",MAX(1,ROUND(D52*Premissas!$C$58,0)),MIN(MAX(ROUND(Equipes!D56,0),0),D54)),"")</f>
        <v/>
      </c>
      <c r="E55" s="193">
        <f>IF(E53,IF(Equipes!E56="",MAX(1,ROUND(E52*Premissas!$C$58,0)),MIN(MAX(ROUND(Equipes!E56,0),0),E54)),"")</f>
        <v/>
      </c>
      <c r="F55" s="193">
        <f>IF(F53,IF(Equipes!F56="",MAX(1,ROUND(F52*Premissas!$C$58,0)),MIN(MAX(ROUND(Equipes!F56,0),0),F54)),"")</f>
        <v/>
      </c>
      <c r="G55" s="193">
        <f>IF(G53,IF(Equipes!G56="",MAX(1,ROUND(G52*Premissas!$C$58,0)),MIN(MAX(ROUND(Equipes!G56,0),0),G54)),"")</f>
        <v/>
      </c>
      <c r="H55" s="193">
        <f>IF(H53,IF(Equipes!H56="",MAX(1,ROUND(H52*Premissas!$C$58,0)),MIN(MAX(ROUND(Equipes!H56,0),0),H54)),"")</f>
        <v/>
      </c>
      <c r="I55" s="193">
        <f>IF(I53,IF(Equipes!I56="",MAX(1,ROUND(I52*Premissas!$C$58,0)),MIN(MAX(ROUND(Equipes!I56,0),0),I54)),"")</f>
        <v/>
      </c>
      <c r="J55" s="193">
        <f>IF(J53,IF(Equipes!J56="",MAX(1,ROUND(J52*Premissas!$C$58,0)),MIN(MAX(ROUND(Equipes!J56,0),0),J54)),"")</f>
        <v/>
      </c>
      <c r="K55" s="193">
        <f>IF(K53,IF(Equipes!K56="",MAX(1,ROUND(K52*Premissas!$C$58,0)),MIN(MAX(ROUND(Equipes!K56,0),0),K54)),"")</f>
        <v/>
      </c>
      <c r="L55" s="193">
        <f>IF(L53,IF(Equipes!L56="",MAX(1,ROUND(L52*Premissas!$C$58,0)),MIN(MAX(ROUND(Equipes!L56,0),0),L54)),"")</f>
        <v/>
      </c>
    </row>
    <row r="56" ht="19.5" customHeight="1" s="129">
      <c r="B56" s="158" t="inlineStr">
        <is>
          <t xml:space="preserve">  GANHO DE CONVERSÃO</t>
        </is>
      </c>
      <c r="C56" s="171">
        <f>IF(C15,IF(C53,C55/C52,MIN(MAX(IF(Equipes!C55="",Premissas!$C$58,Equipes!C55),0),Premissas!$C$65)),"")</f>
        <v/>
      </c>
      <c r="D56" s="171">
        <f>IF(D15,IF(D53,D55/D52,MIN(MAX(IF(Equipes!D55="",Premissas!$C$58,Equipes!D55),0),Premissas!$C$65)),"")</f>
        <v/>
      </c>
      <c r="E56" s="171">
        <f>IF(E15,IF(E53,E55/E52,MIN(MAX(IF(Equipes!E55="",Premissas!$C$58,Equipes!E55),0),Premissas!$C$65)),"")</f>
        <v/>
      </c>
      <c r="F56" s="171">
        <f>IF(F15,IF(F53,F55/F52,MIN(MAX(IF(Equipes!F55="",Premissas!$C$58,Equipes!F55),0),Premissas!$C$65)),"")</f>
        <v/>
      </c>
      <c r="G56" s="171">
        <f>IF(G15,IF(G53,G55/G52,MIN(MAX(IF(Equipes!G55="",Premissas!$C$58,Equipes!G55),0),Premissas!$C$65)),"")</f>
        <v/>
      </c>
      <c r="H56" s="171">
        <f>IF(H15,IF(H53,H55/H52,MIN(MAX(IF(Equipes!H55="",Premissas!$C$58,Equipes!H55),0),Premissas!$C$65)),"")</f>
        <v/>
      </c>
      <c r="I56" s="171">
        <f>IF(I15,IF(I53,I55/I52,MIN(MAX(IF(Equipes!I55="",Premissas!$C$58,Equipes!I55),0),Premissas!$C$65)),"")</f>
        <v/>
      </c>
      <c r="J56" s="171">
        <f>IF(J15,IF(J53,J55/J52,MIN(MAX(IF(Equipes!J55="",Premissas!$C$58,Equipes!J55),0),Premissas!$C$65)),"")</f>
        <v/>
      </c>
      <c r="K56" s="171">
        <f>IF(K15,IF(K53,K55/K52,MIN(MAX(IF(Equipes!K55="",Premissas!$C$58,Equipes!K55),0),Premissas!$C$65)),"")</f>
        <v/>
      </c>
      <c r="L56" s="171">
        <f>IF(L15,IF(L53,L55/L52,MIN(MAX(IF(Equipes!L55="",Premissas!$C$58,Equipes!L55),0),Premissas!$C$65)),"")</f>
        <v/>
      </c>
    </row>
    <row r="57" ht="19.5" customHeight="1" s="129">
      <c r="B57" s="158" t="inlineStr">
        <is>
          <t>Receita / ticket = oportunidades convertidas/mês</t>
        </is>
      </c>
      <c r="C57" s="193">
        <f>IF(C53,C52-C55,"")</f>
        <v/>
      </c>
      <c r="D57" s="193">
        <f>IF(D53,D52-D55,"")</f>
        <v/>
      </c>
      <c r="E57" s="193">
        <f>IF(E53,E52-E55,"")</f>
        <v/>
      </c>
      <c r="F57" s="193">
        <f>IF(F53,F52-F55,"")</f>
        <v/>
      </c>
      <c r="G57" s="193">
        <f>IF(G53,G52-G55,"")</f>
        <v/>
      </c>
      <c r="H57" s="193">
        <f>IF(H53,H52-H55,"")</f>
        <v/>
      </c>
      <c r="I57" s="193">
        <f>IF(I53,I52-I55,"")</f>
        <v/>
      </c>
      <c r="J57" s="193">
        <f>IF(J53,J52-J55,"")</f>
        <v/>
      </c>
      <c r="K57" s="193">
        <f>IF(K53,K52-K55,"")</f>
        <v/>
      </c>
      <c r="L57" s="193">
        <f>IF(L53,L52-L55,"")</f>
        <v/>
      </c>
    </row>
    <row r="59" ht="27.75" customHeight="1" s="129">
      <c r="B59" s="133" t="inlineStr">
        <is>
          <t>Conversão atual</t>
        </is>
      </c>
    </row>
    <row r="60" ht="19.5" customHeight="1" s="129">
      <c r="B60" s="158" t="inlineStr">
        <is>
          <t>Ganho de ticket via conversão/ano</t>
        </is>
      </c>
      <c r="C60" s="192">
        <f>IF(C15,Equipes!C29*C45*12*Equipes!C32*C34,"")</f>
        <v/>
      </c>
      <c r="D60" s="192">
        <f>IF(D15,Equipes!D29*D45*12*Equipes!D32*D34,"")</f>
        <v/>
      </c>
      <c r="E60" s="192">
        <f>IF(E15,Equipes!E29*E45*12*Equipes!E32*E34,"")</f>
        <v/>
      </c>
      <c r="F60" s="192">
        <f>IF(F15,Equipes!F29*F45*12*Equipes!F32*F34,"")</f>
        <v/>
      </c>
      <c r="G60" s="192">
        <f>IF(G15,Equipes!G29*G45*12*Equipes!G32*G34,"")</f>
        <v/>
      </c>
      <c r="H60" s="192">
        <f>IF(H15,Equipes!H29*H45*12*Equipes!H32*H34,"")</f>
        <v/>
      </c>
      <c r="I60" s="192">
        <f>IF(I15,Equipes!I29*I45*12*Equipes!I32*I34,"")</f>
        <v/>
      </c>
      <c r="J60" s="192">
        <f>IF(J15,Equipes!J29*J45*12*Equipes!J32*J34,"")</f>
        <v/>
      </c>
      <c r="K60" s="192">
        <f>IF(K15,Equipes!K29*K45*12*Equipes!K32*K34,"")</f>
        <v/>
      </c>
      <c r="L60" s="192">
        <f>IF(L15,Equipes!L29*L45*12*Equipes!L32*L34,"")</f>
        <v/>
      </c>
    </row>
    <row r="61" ht="19.5" customHeight="1" s="129">
      <c r="B61" s="158" t="inlineStr">
        <is>
          <t>Margem de rampa via conversão/ano</t>
        </is>
      </c>
      <c r="C61" s="192">
        <f>IF(C15,Equipes!C35*C46*C22*Equipes!C36*Equipes!C32*Premissas!$C$12*C34,"")</f>
        <v/>
      </c>
      <c r="D61" s="192">
        <f>IF(D15,Equipes!D35*D46*D22*Equipes!D36*Equipes!D32*Premissas!$C$12*D34,"")</f>
        <v/>
      </c>
      <c r="E61" s="192">
        <f>IF(E15,Equipes!E35*E46*E22*Equipes!E36*Equipes!E32*Premissas!$C$12*E34,"")</f>
        <v/>
      </c>
      <c r="F61" s="192">
        <f>IF(F15,Equipes!F35*F46*F22*Equipes!F36*Equipes!F32*Premissas!$C$12*F34,"")</f>
        <v/>
      </c>
      <c r="G61" s="192">
        <f>IF(G15,Equipes!G35*G46*G22*Equipes!G36*Equipes!G32*Premissas!$C$12*G34,"")</f>
        <v/>
      </c>
      <c r="H61" s="192">
        <f>IF(H15,Equipes!H35*H46*H22*Equipes!H36*Equipes!H32*Premissas!$C$12*H34,"")</f>
        <v/>
      </c>
      <c r="I61" s="192">
        <f>IF(I15,Equipes!I35*I46*I22*Equipes!I36*Equipes!I32*Premissas!$C$12*I34,"")</f>
        <v/>
      </c>
      <c r="J61" s="192">
        <f>IF(J15,Equipes!J35*J46*J22*Equipes!J36*Equipes!J32*Premissas!$C$12*J34,"")</f>
        <v/>
      </c>
      <c r="K61" s="192">
        <f>IF(K15,Equipes!K35*K46*K22*Equipes!K36*Equipes!K32*Premissas!$C$12*K34,"")</f>
        <v/>
      </c>
      <c r="L61" s="192">
        <f>IF(L15,Equipes!L35*L46*L22*Equipes!L36*Equipes!L32*Premissas!$C$12*L34,"")</f>
        <v/>
      </c>
    </row>
    <row r="62" ht="19.5" customHeight="1" s="129">
      <c r="B62" s="158" t="inlineStr">
        <is>
          <t>Ganho de conversão/ano</t>
        </is>
      </c>
      <c r="C62" s="192">
        <f>IF(C15,(Equipes!C29/Equipes!C30)/C47*C50/100*Equipes!C30*Equipes!C32*12*Premissas!$C$14*C34,"")</f>
        <v/>
      </c>
      <c r="D62" s="192">
        <f>IF(D15,(Equipes!D29/Equipes!D30)/D47*D50/100*Equipes!D30*Equipes!D32*12*Premissas!$C$14*D34,"")</f>
        <v/>
      </c>
      <c r="E62" s="192">
        <f>IF(E15,(Equipes!E29/Equipes!E30)/E47*E50/100*Equipes!E30*Equipes!E32*12*Premissas!$C$14*E34,"")</f>
        <v/>
      </c>
      <c r="F62" s="192">
        <f>IF(F15,(Equipes!F29/Equipes!F30)/F47*F50/100*Equipes!F30*Equipes!F32*12*Premissas!$C$14*F34,"")</f>
        <v/>
      </c>
      <c r="G62" s="192">
        <f>IF(G15,(Equipes!G29/Equipes!G30)/G47*G50/100*Equipes!G30*Equipes!G32*12*Premissas!$C$14*G34,"")</f>
        <v/>
      </c>
      <c r="H62" s="192">
        <f>IF(H15,(Equipes!H29/Equipes!H30)/H47*H50/100*Equipes!H30*Equipes!H32*12*Premissas!$C$14*H34,"")</f>
        <v/>
      </c>
      <c r="I62" s="192">
        <f>IF(I15,(Equipes!I29/Equipes!I30)/I47*I50/100*Equipes!I30*Equipes!I32*12*Premissas!$C$14*I34,"")</f>
        <v/>
      </c>
      <c r="J62" s="192">
        <f>IF(J15,(Equipes!J29/Equipes!J30)/J47*J50/100*Equipes!J30*Equipes!J32*12*Premissas!$C$14*J34,"")</f>
        <v/>
      </c>
      <c r="K62" s="192">
        <f>IF(K15,(Equipes!K29/Equipes!K30)/K47*K50/100*Equipes!K30*Equipes!K32*12*Premissas!$C$14*K34,"")</f>
        <v/>
      </c>
      <c r="L62" s="192">
        <f>IF(L15,(Equipes!L29/Equipes!L30)/L47*L50/100*Equipes!L30*Equipes!L32*12*Premissas!$C$14*L34,"")</f>
        <v/>
      </c>
    </row>
    <row r="63" ht="19.5" customHeight="1" s="129">
      <c r="B63" s="158" t="inlineStr">
        <is>
          <t xml:space="preserve">  GANHO DE CICLO</t>
        </is>
      </c>
      <c r="C63" s="190">
        <f>IF(C15,AND(N(C52)&gt;0,N(Equipes!C46)&gt;0),FALSE())</f>
        <v/>
      </c>
      <c r="D63" s="190">
        <f>IF(D15,AND(N(D52)&gt;0,N(Equipes!D46)&gt;0),FALSE())</f>
        <v/>
      </c>
      <c r="E63" s="190">
        <f>IF(E15,AND(N(E52)&gt;0,N(Equipes!E46)&gt;0),FALSE())</f>
        <v/>
      </c>
      <c r="F63" s="190">
        <f>IF(F15,AND(N(F52)&gt;0,N(Equipes!F46)&gt;0),FALSE())</f>
        <v/>
      </c>
      <c r="G63" s="190">
        <f>IF(G15,AND(N(G52)&gt;0,N(Equipes!G46)&gt;0),FALSE())</f>
        <v/>
      </c>
      <c r="H63" s="190">
        <f>IF(H15,AND(N(H52)&gt;0,N(Equipes!H46)&gt;0),FALSE())</f>
        <v/>
      </c>
      <c r="I63" s="190">
        <f>IF(I15,AND(N(I52)&gt;0,N(Equipes!I46)&gt;0),FALSE())</f>
        <v/>
      </c>
      <c r="J63" s="190">
        <f>IF(J15,AND(N(J52)&gt;0,N(Equipes!J46)&gt;0),FALSE())</f>
        <v/>
      </c>
      <c r="K63" s="190">
        <f>IF(K15,AND(N(K52)&gt;0,N(Equipes!K46)&gt;0),FALSE())</f>
        <v/>
      </c>
      <c r="L63" s="190">
        <f>IF(L15,AND(N(L52)&gt;0,N(Equipes!L46)&gt;0),FALSE())</f>
        <v/>
      </c>
    </row>
    <row r="64" ht="19.5" customHeight="1" s="129">
      <c r="B64" s="158" t="inlineStr">
        <is>
          <t>Ciclo de vendas (dias)</t>
        </is>
      </c>
      <c r="C64" s="193">
        <f>IF(C63,MAX(0,Equipes!C46-(Equipes!C29/Equipes!C30)/C47),"")</f>
        <v/>
      </c>
      <c r="D64" s="193">
        <f>IF(D63,MAX(0,Equipes!D46-(Equipes!D29/Equipes!D30)/D47),"")</f>
        <v/>
      </c>
      <c r="E64" s="193">
        <f>IF(E63,MAX(0,Equipes!E46-(Equipes!E29/Equipes!E30)/E47),"")</f>
        <v/>
      </c>
      <c r="F64" s="193">
        <f>IF(F63,MAX(0,Equipes!F46-(Equipes!F29/Equipes!F30)/F47),"")</f>
        <v/>
      </c>
      <c r="G64" s="193">
        <f>IF(G63,MAX(0,Equipes!G46-(Equipes!G29/Equipes!G30)/G47),"")</f>
        <v/>
      </c>
      <c r="H64" s="193">
        <f>IF(H63,MAX(0,Equipes!H46-(Equipes!H29/Equipes!H30)/H47),"")</f>
        <v/>
      </c>
      <c r="I64" s="193">
        <f>IF(I63,MAX(0,Equipes!I46-(Equipes!I29/Equipes!I30)/I47),"")</f>
        <v/>
      </c>
      <c r="J64" s="193">
        <f>IF(J63,MAX(0,Equipes!J46-(Equipes!J29/Equipes!J30)/J47),"")</f>
        <v/>
      </c>
      <c r="K64" s="193">
        <f>IF(K63,MAX(0,Equipes!K46-(Equipes!K29/Equipes!K30)/K47),"")</f>
        <v/>
      </c>
      <c r="L64" s="193">
        <f>IF(L63,MAX(0,Equipes!L46-(Equipes!L29/Equipes!L30)/L47),"")</f>
        <v/>
      </c>
    </row>
    <row r="65" ht="19.5" customHeight="1" s="129">
      <c r="B65" s="158" t="inlineStr">
        <is>
          <t>Oportunidades/mês</t>
        </is>
      </c>
      <c r="C65" s="191">
        <f>IF(C63,C64*C47,"")</f>
        <v/>
      </c>
      <c r="D65" s="191">
        <f>IF(D63,D64*D47,"")</f>
        <v/>
      </c>
      <c r="E65" s="191">
        <f>IF(E63,E64*E47,"")</f>
        <v/>
      </c>
      <c r="F65" s="191">
        <f>IF(F63,F64*F47,"")</f>
        <v/>
      </c>
      <c r="G65" s="191">
        <f>IF(G63,G64*G47,"")</f>
        <v/>
      </c>
      <c r="H65" s="191">
        <f>IF(H63,H64*H47,"")</f>
        <v/>
      </c>
      <c r="I65" s="191">
        <f>IF(I63,I64*I47,"")</f>
        <v/>
      </c>
      <c r="J65" s="191">
        <f>IF(J63,J64*J47,"")</f>
        <v/>
      </c>
      <c r="K65" s="191">
        <f>IF(K63,K64*K47,"")</f>
        <v/>
      </c>
      <c r="L65" s="191">
        <f>IF(L63,L64*L47,"")</f>
        <v/>
      </c>
    </row>
    <row r="66" ht="19.5" customHeight="1" s="129">
      <c r="B66" s="158" t="inlineStr">
        <is>
          <t>Meses p/ processar 1 oportunidade</t>
        </is>
      </c>
      <c r="C66" s="191">
        <f>IF(C63,IF(AND(C56&gt;0,C56&lt;1),(Equipes!C29/Equipes!C30)*(1/(1-C56)-1),0),"")</f>
        <v/>
      </c>
      <c r="D66" s="191">
        <f>IF(D63,IF(AND(D56&gt;0,D56&lt;1),(Equipes!D29/Equipes!D30)*(1/(1-D56)-1),0),"")</f>
        <v/>
      </c>
      <c r="E66" s="191">
        <f>IF(E63,IF(AND(E56&gt;0,E56&lt;1),(Equipes!E29/Equipes!E30)*(1/(1-E56)-1),0),"")</f>
        <v/>
      </c>
      <c r="F66" s="191">
        <f>IF(F63,IF(AND(F56&gt;0,F56&lt;1),(Equipes!F29/Equipes!F30)*(1/(1-F56)-1),0),"")</f>
        <v/>
      </c>
      <c r="G66" s="191">
        <f>IF(G63,IF(AND(G56&gt;0,G56&lt;1),(Equipes!G29/Equipes!G30)*(1/(1-G56)-1),0),"")</f>
        <v/>
      </c>
      <c r="H66" s="191">
        <f>IF(H63,IF(AND(H56&gt;0,H56&lt;1),(Equipes!H29/Equipes!H30)*(1/(1-H56)-1),0),"")</f>
        <v/>
      </c>
      <c r="I66" s="191">
        <f>IF(I63,IF(AND(I56&gt;0,I56&lt;1),(Equipes!I29/Equipes!I30)*(1/(1-I56)-1),0),"")</f>
        <v/>
      </c>
      <c r="J66" s="191">
        <f>IF(J63,IF(AND(J56&gt;0,J56&lt;1),(Equipes!J29/Equipes!J30)*(1/(1-J56)-1),0),"")</f>
        <v/>
      </c>
      <c r="K66" s="191">
        <f>IF(K63,IF(AND(K56&gt;0,K56&lt;1),(Equipes!K29/Equipes!K30)*(1/(1-K56)-1),0),"")</f>
        <v/>
      </c>
      <c r="L66" s="191">
        <f>IF(L63,IF(AND(L56&gt;0,L56&lt;1),(Equipes!L29/Equipes!L30)*(1/(1-L56)-1),0),"")</f>
        <v/>
      </c>
    </row>
    <row r="67" ht="19.5" customHeight="1" s="129">
      <c r="B67" s="158" t="inlineStr">
        <is>
          <t>Ganho de ciclo/mês</t>
        </is>
      </c>
      <c r="C67" s="191">
        <f>IF(C63,MIN(C66,C65),"")</f>
        <v/>
      </c>
      <c r="D67" s="191">
        <f>IF(D63,MIN(D66,D65),"")</f>
        <v/>
      </c>
      <c r="E67" s="191">
        <f>IF(E63,MIN(E66,E65),"")</f>
        <v/>
      </c>
      <c r="F67" s="191">
        <f>IF(F63,MIN(F66,F65),"")</f>
        <v/>
      </c>
      <c r="G67" s="191">
        <f>IF(G63,MIN(G66,G65),"")</f>
        <v/>
      </c>
      <c r="H67" s="191">
        <f>IF(H63,MIN(H66,H65),"")</f>
        <v/>
      </c>
      <c r="I67" s="191">
        <f>IF(I63,MIN(I66,I65),"")</f>
        <v/>
      </c>
      <c r="J67" s="191">
        <f>IF(J63,MIN(J66,J65),"")</f>
        <v/>
      </c>
      <c r="K67" s="191">
        <f>IF(K63,MIN(K66,K65),"")</f>
        <v/>
      </c>
      <c r="L67" s="191">
        <f>IF(L63,MIN(L66,L65),"")</f>
        <v/>
      </c>
    </row>
    <row r="68" ht="19.5" customHeight="1" s="129">
      <c r="B68" s="158" t="inlineStr">
        <is>
          <t>Ganho de ciclo/ano</t>
        </is>
      </c>
      <c r="C68" s="192">
        <f>IF(C15,IF(C63,C67*Equipes!C30*Equipes!C32*12*Premissas!$C$13*C34,0),"")</f>
        <v/>
      </c>
      <c r="D68" s="192">
        <f>IF(D15,IF(D63,D67*Equipes!D30*Equipes!D32*12*Premissas!$C$13*D34,0),"")</f>
        <v/>
      </c>
      <c r="E68" s="192">
        <f>IF(E15,IF(E63,E67*Equipes!E30*Equipes!E32*12*Premissas!$C$13*E34,0),"")</f>
        <v/>
      </c>
      <c r="F68" s="192">
        <f>IF(F15,IF(F63,F67*Equipes!F30*Equipes!F32*12*Premissas!$C$13*F34,0),"")</f>
        <v/>
      </c>
      <c r="G68" s="192">
        <f>IF(G15,IF(G63,G67*Equipes!G30*Equipes!G32*12*Premissas!$C$13*G34,0),"")</f>
        <v/>
      </c>
      <c r="H68" s="192">
        <f>IF(H15,IF(H63,H67*Equipes!H30*Equipes!H32*12*Premissas!$C$13*H34,0),"")</f>
        <v/>
      </c>
      <c r="I68" s="192">
        <f>IF(I15,IF(I63,I67*Equipes!I30*Equipes!I32*12*Premissas!$C$13*I34,0),"")</f>
        <v/>
      </c>
      <c r="J68" s="192">
        <f>IF(J15,IF(J63,J67*Equipes!J30*Equipes!J32*12*Premissas!$C$13*J34,0),"")</f>
        <v/>
      </c>
      <c r="K68" s="192">
        <f>IF(K15,IF(K63,K67*Equipes!K30*Equipes!K32*12*Premissas!$C$13*K34,0),"")</f>
        <v/>
      </c>
      <c r="L68" s="192">
        <f>IF(L15,IF(L63,L67*Equipes!L30*Equipes!L32*12*Premissas!$C$13*L34,0),"")</f>
        <v/>
      </c>
    </row>
    <row r="69" ht="19.5" customHeight="1" s="129">
      <c r="B69" s="158" t="inlineStr">
        <is>
          <t>Teto do funil limitante?</t>
        </is>
      </c>
      <c r="C69" s="190">
        <f>IF(C63,OR(C67&lt;C66,C64=0),FALSE())</f>
        <v/>
      </c>
      <c r="D69" s="190">
        <f>IF(D63,OR(D67&lt;D66,D64=0),FALSE())</f>
        <v/>
      </c>
      <c r="E69" s="190">
        <f>IF(E63,OR(E67&lt;E66,E64=0),FALSE())</f>
        <v/>
      </c>
      <c r="F69" s="190">
        <f>IF(F63,OR(F67&lt;F66,F64=0),FALSE())</f>
        <v/>
      </c>
      <c r="G69" s="190">
        <f>IF(G63,OR(G67&lt;G66,G64=0),FALSE())</f>
        <v/>
      </c>
      <c r="H69" s="190">
        <f>IF(H63,OR(H67&lt;H66,H64=0),FALSE())</f>
        <v/>
      </c>
      <c r="I69" s="190">
        <f>IF(I63,OR(I67&lt;I66,I64=0),FALSE())</f>
        <v/>
      </c>
      <c r="J69" s="190">
        <f>IF(J63,OR(J67&lt;J66,J64=0),FALSE())</f>
        <v/>
      </c>
      <c r="K69" s="190">
        <f>IF(K63,OR(K67&lt;K66,K64=0),FALSE())</f>
        <v/>
      </c>
      <c r="L69" s="190">
        <f>IF(L63,OR(L67&lt;L66,L64=0),FALSE())</f>
        <v/>
      </c>
    </row>
    <row r="71" ht="27.75" customHeight="1" s="129">
      <c r="B71" s="133" t="inlineStr">
        <is>
          <t>Valor anual total da equipe</t>
        </is>
      </c>
    </row>
    <row r="72" ht="19.5" customHeight="1" s="129">
      <c r="B72" s="158" t="inlineStr">
        <is>
          <t>Margem atual da equipe (ano)</t>
        </is>
      </c>
      <c r="C72" s="192">
        <f>IF(C15,C41+C60+C61+C62+C68,"")</f>
        <v/>
      </c>
      <c r="D72" s="192">
        <f>IF(D15,D41+D60+D61+D62+D68,"")</f>
        <v/>
      </c>
      <c r="E72" s="192">
        <f>IF(E15,E41+E60+E61+E62+E68,"")</f>
        <v/>
      </c>
      <c r="F72" s="192">
        <f>IF(F15,F41+F60+F61+F62+F68,"")</f>
        <v/>
      </c>
      <c r="G72" s="192">
        <f>IF(G15,G41+G60+G61+G62+G68,"")</f>
        <v/>
      </c>
      <c r="H72" s="192">
        <f>IF(H15,H41+H60+H61+H62+H68,"")</f>
        <v/>
      </c>
      <c r="I72" s="192">
        <f>IF(I15,I41+I60+I61+I62+I68,"")</f>
        <v/>
      </c>
      <c r="J72" s="192">
        <f>IF(J15,J41+J60+J61+J62+J68,"")</f>
        <v/>
      </c>
      <c r="K72" s="192">
        <f>IF(K15,K41+K60+K61+K62+K68,"")</f>
        <v/>
      </c>
      <c r="L72" s="192">
        <f>IF(L15,L41+L60+L61+L62+L68,"")</f>
        <v/>
      </c>
    </row>
    <row r="73" ht="19.5" customHeight="1" s="129">
      <c r="B73" s="158" t="inlineStr">
        <is>
          <t>ROI da equipe</t>
        </is>
      </c>
      <c r="C73" s="192">
        <f>IF(C15,C60+C61+C62+C68,"")</f>
        <v/>
      </c>
      <c r="D73" s="192">
        <f>IF(D15,D60+D61+D62+D68,"")</f>
        <v/>
      </c>
      <c r="E73" s="192">
        <f>IF(E15,E60+E61+E62+E68,"")</f>
        <v/>
      </c>
      <c r="F73" s="192">
        <f>IF(F15,F60+F61+F62+F68,"")</f>
        <v/>
      </c>
      <c r="G73" s="192">
        <f>IF(G15,G60+G61+G62+G68,"")</f>
        <v/>
      </c>
      <c r="H73" s="192">
        <f>IF(H15,H60+H61+H62+H68,"")</f>
        <v/>
      </c>
      <c r="I73" s="192">
        <f>IF(I15,I60+I61+I62+I68,"")</f>
        <v/>
      </c>
      <c r="J73" s="192">
        <f>IF(J15,J60+J61+J62+J68,"")</f>
        <v/>
      </c>
      <c r="K73" s="192">
        <f>IF(K15,K60+K61+K62+K68,"")</f>
        <v/>
      </c>
      <c r="L73" s="192">
        <f>IF(L15,L60+L61+L62+L68,"")</f>
        <v/>
      </c>
    </row>
    <row r="74" ht="19.5" customHeight="1" s="129">
      <c r="B74" s="158" t="inlineStr">
        <is>
          <t>Payback da equipe (meses)</t>
        </is>
      </c>
      <c r="C74" s="192">
        <f>IF(C15,Equipes!C29*12*Equipes!C32,"")</f>
        <v/>
      </c>
      <c r="D74" s="192">
        <f>IF(D15,Equipes!D29*12*Equipes!D32,"")</f>
        <v/>
      </c>
      <c r="E74" s="192">
        <f>IF(E15,Equipes!E29*12*Equipes!E32,"")</f>
        <v/>
      </c>
      <c r="F74" s="192">
        <f>IF(F15,Equipes!F29*12*Equipes!F32,"")</f>
        <v/>
      </c>
      <c r="G74" s="192">
        <f>IF(G15,Equipes!G29*12*Equipes!G32,"")</f>
        <v/>
      </c>
      <c r="H74" s="192">
        <f>IF(H15,Equipes!H29*12*Equipes!H32,"")</f>
        <v/>
      </c>
      <c r="I74" s="192">
        <f>IF(I15,Equipes!I29*12*Equipes!I32,"")</f>
        <v/>
      </c>
      <c r="J74" s="192">
        <f>IF(J15,Equipes!J29*12*Equipes!J32,"")</f>
        <v/>
      </c>
      <c r="K74" s="192">
        <f>IF(K15,Equipes!K29*12*Equipes!K32,"")</f>
        <v/>
      </c>
      <c r="L74" s="192">
        <f>IF(L15,Equipes!L29*12*Equipes!L32,"")</f>
        <v/>
      </c>
    </row>
    <row r="75" ht="19.5" customHeight="1" s="129">
      <c r="B75" s="158" t="inlineStr">
        <is>
          <t>Teste de realismo (G / margem anual)</t>
        </is>
      </c>
      <c r="C75" s="171">
        <f>IF(C15,C73/C74,"")</f>
        <v/>
      </c>
      <c r="D75" s="171">
        <f>IF(D15,D73/D74,"")</f>
        <v/>
      </c>
      <c r="E75" s="171">
        <f>IF(E15,E73/E74,"")</f>
        <v/>
      </c>
      <c r="F75" s="171">
        <f>IF(F15,F73/F74,"")</f>
        <v/>
      </c>
      <c r="G75" s="171">
        <f>IF(G15,G73/G74,"")</f>
        <v/>
      </c>
      <c r="H75" s="171">
        <f>IF(H15,H73/H74,"")</f>
        <v/>
      </c>
      <c r="I75" s="171">
        <f>IF(I15,I73/I74,"")</f>
        <v/>
      </c>
      <c r="J75" s="171">
        <f>IF(J15,J73/J74,"")</f>
        <v/>
      </c>
      <c r="K75" s="171">
        <f>IF(K15,K73/K74,"")</f>
        <v/>
      </c>
      <c r="L75" s="171">
        <f>IF(L15,L73/L74,"")</f>
        <v/>
      </c>
    </row>
    <row r="76" ht="19.5" customHeight="1" s="129">
      <c r="B76" s="158" t="inlineStr">
        <is>
          <t>Alerta teste de realismo (&gt; 25%)?</t>
        </is>
      </c>
      <c r="C76" s="190">
        <f>IF(C15,N(C75)&gt;Premissas!$C$26,FALSE())</f>
        <v/>
      </c>
      <c r="D76" s="190">
        <f>IF(D15,N(D75)&gt;Premissas!$C$26,FALSE())</f>
        <v/>
      </c>
      <c r="E76" s="190">
        <f>IF(E15,N(E75)&gt;Premissas!$C$26,FALSE())</f>
        <v/>
      </c>
      <c r="F76" s="190">
        <f>IF(F15,N(F75)&gt;Premissas!$C$26,FALSE())</f>
        <v/>
      </c>
      <c r="G76" s="190">
        <f>IF(G15,N(G75)&gt;Premissas!$C$26,FALSE())</f>
        <v/>
      </c>
      <c r="H76" s="190">
        <f>IF(H15,N(H75)&gt;Premissas!$C$26,FALSE())</f>
        <v/>
      </c>
      <c r="I76" s="190">
        <f>IF(I15,N(I75)&gt;Premissas!$C$26,FALSE())</f>
        <v/>
      </c>
      <c r="J76" s="190">
        <f>IF(J15,N(J75)&gt;Premissas!$C$26,FALSE())</f>
        <v/>
      </c>
      <c r="K76" s="190">
        <f>IF(K15,N(K75)&gt;Premissas!$C$26,FALSE())</f>
        <v/>
      </c>
      <c r="L76" s="190">
        <f>IF(L15,N(L75)&gt;Premissas!$C$26,FALSE())</f>
        <v/>
      </c>
    </row>
    <row r="78" ht="27.75" customHeight="1" s="129">
      <c r="B78" s="133" t="inlineStr">
        <is>
          <t>PREÇO POR EQUIPE (da aba Conta)</t>
        </is>
      </c>
    </row>
    <row r="79" ht="19.5" customHeight="1" s="129">
      <c r="B79" s="158" t="inlineStr">
        <is>
          <t>Preço mensal (alocado por horas)</t>
        </is>
      </c>
      <c r="C79" s="192">
        <f>IF(AND(C15,N(Conta!$C$13)&gt;0,ISNUMBER(Conta!$C$22)),Conta!$C$22*C20/Conta!$C$13,"")</f>
        <v/>
      </c>
      <c r="D79" s="192">
        <f>IF(AND(D15,N(Conta!$C$13)&gt;0,ISNUMBER(Conta!$C$22)),Conta!$C$22*D20/Conta!$C$13,"")</f>
        <v/>
      </c>
      <c r="E79" s="192">
        <f>IF(AND(E15,N(Conta!$C$13)&gt;0,ISNUMBER(Conta!$C$22)),Conta!$C$22*E20/Conta!$C$13,"")</f>
        <v/>
      </c>
      <c r="F79" s="192">
        <f>IF(AND(F15,N(Conta!$C$13)&gt;0,ISNUMBER(Conta!$C$22)),Conta!$C$22*F20/Conta!$C$13,"")</f>
        <v/>
      </c>
      <c r="G79" s="192">
        <f>IF(AND(G15,N(Conta!$C$13)&gt;0,ISNUMBER(Conta!$C$22)),Conta!$C$22*G20/Conta!$C$13,"")</f>
        <v/>
      </c>
      <c r="H79" s="192">
        <f>IF(AND(H15,N(Conta!$C$13)&gt;0,ISNUMBER(Conta!$C$22)),Conta!$C$22*H20/Conta!$C$13,"")</f>
        <v/>
      </c>
      <c r="I79" s="192">
        <f>IF(AND(I15,N(Conta!$C$13)&gt;0,ISNUMBER(Conta!$C$22)),Conta!$C$22*I20/Conta!$C$13,"")</f>
        <v/>
      </c>
      <c r="J79" s="192">
        <f>IF(AND(J15,N(Conta!$C$13)&gt;0,ISNUMBER(Conta!$C$22)),Conta!$C$22*J20/Conta!$C$13,"")</f>
        <v/>
      </c>
      <c r="K79" s="192">
        <f>IF(AND(K15,N(Conta!$C$13)&gt;0,ISNUMBER(Conta!$C$22)),Conta!$C$22*K20/Conta!$C$13,"")</f>
        <v/>
      </c>
      <c r="L79" s="192">
        <f>IF(AND(L15,N(Conta!$C$13)&gt;0,ISNUMBER(Conta!$C$22)),Conta!$C$22*L20/Conta!$C$13,"")</f>
        <v/>
      </c>
    </row>
    <row r="80" ht="19.5" customHeight="1" s="129">
      <c r="B80" s="158" t="inlineStr">
        <is>
          <t>Preço anual</t>
        </is>
      </c>
      <c r="C80" s="192">
        <f>IF(ISNUMBER(C79),C79*12,"")</f>
        <v/>
      </c>
      <c r="D80" s="192">
        <f>IF(ISNUMBER(D79),D79*12,"")</f>
        <v/>
      </c>
      <c r="E80" s="192">
        <f>IF(ISNUMBER(E79),E79*12,"")</f>
        <v/>
      </c>
      <c r="F80" s="192">
        <f>IF(ISNUMBER(F79),F79*12,"")</f>
        <v/>
      </c>
      <c r="G80" s="192">
        <f>IF(ISNUMBER(G79),G79*12,"")</f>
        <v/>
      </c>
      <c r="H80" s="192">
        <f>IF(ISNUMBER(H79),H79*12,"")</f>
        <v/>
      </c>
      <c r="I80" s="192">
        <f>IF(ISNUMBER(I79),I79*12,"")</f>
        <v/>
      </c>
      <c r="J80" s="192">
        <f>IF(ISNUMBER(J79),J79*12,"")</f>
        <v/>
      </c>
      <c r="K80" s="192">
        <f>IF(ISNUMBER(K79),K79*12,"")</f>
        <v/>
      </c>
      <c r="L80" s="192">
        <f>IF(ISNUMBER(L79),L79*12,"")</f>
        <v/>
      </c>
    </row>
    <row r="81" ht="19.5" customHeight="1" s="129">
      <c r="B81" s="158" t="inlineStr">
        <is>
          <t>ROI da equipe</t>
        </is>
      </c>
      <c r="C81" s="195">
        <f>IF(AND(ISNUMBER(C80),N(C80)&gt;0,ISNUMBER(C72)),C72/C80,"")</f>
        <v/>
      </c>
      <c r="D81" s="195">
        <f>IF(AND(ISNUMBER(D80),N(D80)&gt;0,ISNUMBER(D72)),D72/D80,"")</f>
        <v/>
      </c>
      <c r="E81" s="195">
        <f>IF(AND(ISNUMBER(E80),N(E80)&gt;0,ISNUMBER(E72)),E72/E80,"")</f>
        <v/>
      </c>
      <c r="F81" s="195">
        <f>IF(AND(ISNUMBER(F80),N(F80)&gt;0,ISNUMBER(F72)),F72/F80,"")</f>
        <v/>
      </c>
      <c r="G81" s="195">
        <f>IF(AND(ISNUMBER(G80),N(G80)&gt;0,ISNUMBER(G72)),G72/G80,"")</f>
        <v/>
      </c>
      <c r="H81" s="195">
        <f>IF(AND(ISNUMBER(H80),N(H80)&gt;0,ISNUMBER(H72)),H72/H80,"")</f>
        <v/>
      </c>
      <c r="I81" s="195">
        <f>IF(AND(ISNUMBER(I80),N(I80)&gt;0,ISNUMBER(I72)),I72/I80,"")</f>
        <v/>
      </c>
      <c r="J81" s="195">
        <f>IF(AND(ISNUMBER(J80),N(J80)&gt;0,ISNUMBER(J72)),J72/J80,"")</f>
        <v/>
      </c>
      <c r="K81" s="195">
        <f>IF(AND(ISNUMBER(K80),N(K80)&gt;0,ISNUMBER(K72)),K72/K80,"")</f>
        <v/>
      </c>
      <c r="L81" s="195">
        <f>IF(AND(ISNUMBER(L80),N(L80)&gt;0,ISNUMBER(L72)),L72/L80,"")</f>
        <v/>
      </c>
    </row>
    <row r="82" ht="19.5" customHeight="1" s="129">
      <c r="B82" s="158" t="inlineStr">
        <is>
          <t>Payback da equipe (meses)</t>
        </is>
      </c>
      <c r="C82" s="172">
        <f>IF(AND(ISNUMBER(C81),N(C72)&gt;0),C80/C72*12,"")</f>
        <v/>
      </c>
      <c r="D82" s="172">
        <f>IF(AND(ISNUMBER(D81),N(D72)&gt;0),D80/D72*12,"")</f>
        <v/>
      </c>
      <c r="E82" s="172">
        <f>IF(AND(ISNUMBER(E81),N(E72)&gt;0),E80/E72*12,"")</f>
        <v/>
      </c>
      <c r="F82" s="172">
        <f>IF(AND(ISNUMBER(F81),N(F72)&gt;0),F80/F72*12,"")</f>
        <v/>
      </c>
      <c r="G82" s="172">
        <f>IF(AND(ISNUMBER(G81),N(G72)&gt;0),G80/G72*12,"")</f>
        <v/>
      </c>
      <c r="H82" s="172">
        <f>IF(AND(ISNUMBER(H81),N(H72)&gt;0),H80/H72*12,"")</f>
        <v/>
      </c>
      <c r="I82" s="172">
        <f>IF(AND(ISNUMBER(I81),N(I72)&gt;0),I80/I72*12,"")</f>
        <v/>
      </c>
      <c r="J82" s="172">
        <f>IF(AND(ISNUMBER(J81),N(J72)&gt;0),J80/J72*12,"")</f>
        <v/>
      </c>
      <c r="K82" s="172">
        <f>IF(AND(ISNUMBER(K81),N(K72)&gt;0),K80/K72*12,"")</f>
        <v/>
      </c>
      <c r="L82" s="172">
        <f>IF(AND(ISNUMBER(L81),N(L72)&gt;0),L80/L72*12,"")</f>
        <v/>
      </c>
    </row>
    <row r="83" ht="19.5" customHeight="1" s="129">
      <c r="B83" s="158" t="inlineStr">
        <is>
          <t>Payback excede o contrato?</t>
        </is>
      </c>
      <c r="C83" s="190">
        <f>IF(ISNUMBER(C82),C82&gt;Conta!$C$8,FALSE())</f>
        <v/>
      </c>
      <c r="D83" s="190">
        <f>IF(ISNUMBER(D82),D82&gt;Conta!$C$8,FALSE())</f>
        <v/>
      </c>
      <c r="E83" s="190">
        <f>IF(ISNUMBER(E82),E82&gt;Conta!$C$8,FALSE())</f>
        <v/>
      </c>
      <c r="F83" s="190">
        <f>IF(ISNUMBER(F82),F82&gt;Conta!$C$8,FALSE())</f>
        <v/>
      </c>
      <c r="G83" s="190">
        <f>IF(ISNUMBER(G82),G82&gt;Conta!$C$8,FALSE())</f>
        <v/>
      </c>
      <c r="H83" s="190">
        <f>IF(ISNUMBER(H82),H82&gt;Conta!$C$8,FALSE())</f>
        <v/>
      </c>
      <c r="I83" s="190">
        <f>IF(ISNUMBER(I82),I82&gt;Conta!$C$8,FALSE())</f>
        <v/>
      </c>
      <c r="J83" s="190">
        <f>IF(ISNUMBER(J82),J82&gt;Conta!$C$8,FALSE())</f>
        <v/>
      </c>
      <c r="K83" s="190">
        <f>IF(ISNUMBER(K82),K82&gt;Conta!$C$8,FALSE())</f>
        <v/>
      </c>
      <c r="L83" s="190">
        <f>IF(ISNUMBER(L82),L82&gt;Conta!$C$8,FALSE())</f>
        <v/>
      </c>
    </row>
    <row r="84" ht="19.5" customHeight="1" s="129">
      <c r="B84" s="158" t="inlineStr">
        <is>
          <t>Preço por assento (mês)</t>
        </is>
      </c>
      <c r="C84" s="192">
        <f>IF(ISNUMBER(C79),C79/C19,"")</f>
        <v/>
      </c>
      <c r="D84" s="192">
        <f>IF(ISNUMBER(D79),D79/D19,"")</f>
        <v/>
      </c>
      <c r="E84" s="192">
        <f>IF(ISNUMBER(E79),E79/E19,"")</f>
        <v/>
      </c>
      <c r="F84" s="192">
        <f>IF(ISNUMBER(F79),F79/F19,"")</f>
        <v/>
      </c>
      <c r="G84" s="192">
        <f>IF(ISNUMBER(G79),G79/G19,"")</f>
        <v/>
      </c>
      <c r="H84" s="192">
        <f>IF(ISNUMBER(H79),H79/H19,"")</f>
        <v/>
      </c>
      <c r="I84" s="192">
        <f>IF(ISNUMBER(I79),I79/I19,"")</f>
        <v/>
      </c>
      <c r="J84" s="192">
        <f>IF(ISNUMBER(J79),J79/J19,"")</f>
        <v/>
      </c>
      <c r="K84" s="192">
        <f>IF(ISNUMBER(K79),K79/K19,"")</f>
        <v/>
      </c>
      <c r="L84" s="192">
        <f>IF(ISNUMBER(L79),L79/L19,"")</f>
        <v/>
      </c>
    </row>
    <row r="85" ht="19.5" customHeight="1" s="129">
      <c r="B85" s="158" t="inlineStr">
        <is>
          <t>Valor por vendedor/ano</t>
        </is>
      </c>
      <c r="C85" s="192">
        <f>IF(C15,C72/Equipes!C21,"")</f>
        <v/>
      </c>
      <c r="D85" s="192">
        <f>IF(D15,D72/Equipes!D21,"")</f>
        <v/>
      </c>
      <c r="E85" s="192">
        <f>IF(E15,E72/Equipes!E21,"")</f>
        <v/>
      </c>
      <c r="F85" s="192">
        <f>IF(F15,F72/Equipes!F21,"")</f>
        <v/>
      </c>
      <c r="G85" s="192">
        <f>IF(G15,G72/Equipes!G21,"")</f>
        <v/>
      </c>
      <c r="H85" s="192">
        <f>IF(H15,H72/Equipes!H21,"")</f>
        <v/>
      </c>
      <c r="I85" s="192">
        <f>IF(I15,I72/Equipes!I21,"")</f>
        <v/>
      </c>
      <c r="J85" s="192">
        <f>IF(J15,J72/Equipes!J21,"")</f>
        <v/>
      </c>
      <c r="K85" s="192">
        <f>IF(K15,K72/Equipes!K21,"")</f>
        <v/>
      </c>
      <c r="L85" s="192">
        <f>IF(L15,L72/Equipes!L21,"")</f>
        <v/>
      </c>
    </row>
    <row r="87" ht="27.75" customHeight="1" s="129">
      <c r="B87" s="133" t="inlineStr">
        <is>
          <t>ECONOMIA DE HEADCOUNT (referência — excluído do valor por auditoria A-02)</t>
        </is>
      </c>
    </row>
    <row r="88" ht="19.5" customHeight="1" s="129">
      <c r="B88" s="158" t="inlineStr">
        <is>
          <t>Gerentes necessários hoje</t>
        </is>
      </c>
      <c r="C88" s="191">
        <f>IF(C15,Equipes!C21/Equipes!C24,"")</f>
        <v/>
      </c>
      <c r="D88" s="191">
        <f>IF(D15,Equipes!D21/Equipes!D24,"")</f>
        <v/>
      </c>
      <c r="E88" s="191">
        <f>IF(E15,Equipes!E21/Equipes!E24,"")</f>
        <v/>
      </c>
      <c r="F88" s="191">
        <f>IF(F15,Equipes!F21/Equipes!F24,"")</f>
        <v/>
      </c>
      <c r="G88" s="191">
        <f>IF(G15,Equipes!G21/Equipes!G24,"")</f>
        <v/>
      </c>
      <c r="H88" s="191">
        <f>IF(H15,Equipes!H21/Equipes!H24,"")</f>
        <v/>
      </c>
      <c r="I88" s="191">
        <f>IF(I15,Equipes!I21/Equipes!I24,"")</f>
        <v/>
      </c>
      <c r="J88" s="191">
        <f>IF(J15,Equipes!J21/Equipes!J24,"")</f>
        <v/>
      </c>
      <c r="K88" s="191">
        <f>IF(K15,Equipes!K21/Equipes!K24,"")</f>
        <v/>
      </c>
      <c r="L88" s="191">
        <f>IF(L15,Equipes!L21/Equipes!L24,"")</f>
        <v/>
      </c>
    </row>
    <row r="89" ht="19.5" customHeight="1" s="129">
      <c r="B89" s="158" t="inlineStr">
        <is>
          <t>Gerentes necessários com Perfecting</t>
        </is>
      </c>
      <c r="C89" s="191">
        <f>IF(C15,IF(Premissas!$C$11&gt;0,Equipes!C21/(Equipes!C24*(1/Premissas!$C$11)),""),"")</f>
        <v/>
      </c>
      <c r="D89" s="191">
        <f>IF(D15,IF(Premissas!$C$11&gt;0,Equipes!D21/(Equipes!D24*(1/Premissas!$C$11)),""),"")</f>
        <v/>
      </c>
      <c r="E89" s="191">
        <f>IF(E15,IF(Premissas!$C$11&gt;0,Equipes!E21/(Equipes!E24*(1/Premissas!$C$11)),""),"")</f>
        <v/>
      </c>
      <c r="F89" s="191">
        <f>IF(F15,IF(Premissas!$C$11&gt;0,Equipes!F21/(Equipes!F24*(1/Premissas!$C$11)),""),"")</f>
        <v/>
      </c>
      <c r="G89" s="191">
        <f>IF(G15,IF(Premissas!$C$11&gt;0,Equipes!G21/(Equipes!G24*(1/Premissas!$C$11)),""),"")</f>
        <v/>
      </c>
      <c r="H89" s="191">
        <f>IF(H15,IF(Premissas!$C$11&gt;0,Equipes!H21/(Equipes!H24*(1/Premissas!$C$11)),""),"")</f>
        <v/>
      </c>
      <c r="I89" s="191">
        <f>IF(I15,IF(Premissas!$C$11&gt;0,Equipes!I21/(Equipes!I24*(1/Premissas!$C$11)),""),"")</f>
        <v/>
      </c>
      <c r="J89" s="191">
        <f>IF(J15,IF(Premissas!$C$11&gt;0,Equipes!J21/(Equipes!J24*(1/Premissas!$C$11)),""),"")</f>
        <v/>
      </c>
      <c r="K89" s="191">
        <f>IF(K15,IF(Premissas!$C$11&gt;0,Equipes!K21/(Equipes!K24*(1/Premissas!$C$11)),""),"")</f>
        <v/>
      </c>
      <c r="L89" s="191">
        <f>IF(L15,IF(Premissas!$C$11&gt;0,Equipes!L21/(Equipes!L24*(1/Premissas!$C$11)),""),"")</f>
        <v/>
      </c>
    </row>
    <row r="90" ht="19.5" customHeight="1" s="129">
      <c r="B90" s="158" t="inlineStr">
        <is>
          <t>Gerentes evitados</t>
        </is>
      </c>
      <c r="C90" s="191">
        <f>IF(C15,IF(ISNUMBER(C89),MAX(0,C88-C89),""),"")</f>
        <v/>
      </c>
      <c r="D90" s="191">
        <f>IF(D15,IF(ISNUMBER(D89),MAX(0,D88-D89),""),"")</f>
        <v/>
      </c>
      <c r="E90" s="191">
        <f>IF(E15,IF(ISNUMBER(E89),MAX(0,E88-E89),""),"")</f>
        <v/>
      </c>
      <c r="F90" s="191">
        <f>IF(F15,IF(ISNUMBER(F89),MAX(0,F88-F89),""),"")</f>
        <v/>
      </c>
      <c r="G90" s="191">
        <f>IF(G15,IF(ISNUMBER(G89),MAX(0,G88-G89),""),"")</f>
        <v/>
      </c>
      <c r="H90" s="191">
        <f>IF(H15,IF(ISNUMBER(H89),MAX(0,H88-H89),""),"")</f>
        <v/>
      </c>
      <c r="I90" s="191">
        <f>IF(I15,IF(ISNUMBER(I89),MAX(0,I88-I89),""),"")</f>
        <v/>
      </c>
      <c r="J90" s="191">
        <f>IF(J15,IF(ISNUMBER(J89),MAX(0,J88-J89),""),"")</f>
        <v/>
      </c>
      <c r="K90" s="191">
        <f>IF(K15,IF(ISNUMBER(K89),MAX(0,K88-K89),""),"")</f>
        <v/>
      </c>
      <c r="L90" s="191">
        <f>IF(L15,IF(ISNUMBER(L89),MAX(0,L88-L89),""),"")</f>
        <v/>
      </c>
    </row>
    <row r="91" ht="19.5" customHeight="1" s="129">
      <c r="B91" s="158" t="inlineStr">
        <is>
          <t>Economia de headcount (ano)</t>
        </is>
      </c>
      <c r="C91" s="192">
        <f>IF(AND(C15,ISNUMBER(C90)),C90*C11*Premissas!$C$8*12,"")</f>
        <v/>
      </c>
      <c r="D91" s="192">
        <f>IF(AND(D15,ISNUMBER(D90)),D90*D11*Premissas!$C$8*12,"")</f>
        <v/>
      </c>
      <c r="E91" s="192">
        <f>IF(AND(E15,ISNUMBER(E90)),E90*E11*Premissas!$C$8*12,"")</f>
        <v/>
      </c>
      <c r="F91" s="192">
        <f>IF(AND(F15,ISNUMBER(F90)),F90*F11*Premissas!$C$8*12,"")</f>
        <v/>
      </c>
      <c r="G91" s="192">
        <f>IF(AND(G15,ISNUMBER(G90)),G90*G11*Premissas!$C$8*12,"")</f>
        <v/>
      </c>
      <c r="H91" s="192">
        <f>IF(AND(H15,ISNUMBER(H90)),H90*H11*Premissas!$C$8*12,"")</f>
        <v/>
      </c>
      <c r="I91" s="192">
        <f>IF(AND(I15,ISNUMBER(I90)),I90*I11*Premissas!$C$8*12,"")</f>
        <v/>
      </c>
      <c r="J91" s="192">
        <f>IF(AND(J15,ISNUMBER(J90)),J90*J11*Premissas!$C$8*12,"")</f>
        <v/>
      </c>
      <c r="K91" s="192">
        <f>IF(AND(K15,ISNUMBER(K90)),K90*K11*Premissas!$C$8*12,"")</f>
        <v/>
      </c>
      <c r="L91" s="192">
        <f>IF(AND(L15,ISNUMBER(L90)),L90*L11*Premissas!$C$8*12,"")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4">
    <mergeCell ref="B4:L4"/>
    <mergeCell ref="B6:L6"/>
    <mergeCell ref="B38:L38"/>
    <mergeCell ref="B44:L44"/>
    <mergeCell ref="B78:L78"/>
    <mergeCell ref="B33:L33"/>
    <mergeCell ref="B87:L87"/>
    <mergeCell ref="B3:L3"/>
    <mergeCell ref="B2:L2"/>
    <mergeCell ref="B59:L59"/>
    <mergeCell ref="B1:L1"/>
    <mergeCell ref="B17:L17"/>
    <mergeCell ref="B27:L27"/>
    <mergeCell ref="B71:L7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E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953125" defaultRowHeight="15" zeroHeight="0" outlineLevelRow="0"/>
  <cols>
    <col width="2.99" customWidth="1" style="128" min="1" max="1"/>
    <col width="42" customWidth="1" style="128" min="2" max="2"/>
    <col width="20" customWidth="1" style="128" min="3" max="4"/>
    <col width="16" customWidth="1" style="129" min="4" max="4"/>
    <col width="50" customWidth="1" style="128" min="5" max="5"/>
    <col width="2.99" customWidth="1" style="128" min="6" max="6"/>
  </cols>
  <sheetData>
    <row r="1" ht="34.5" customHeight="1" s="129">
      <c r="B1" s="196" t="inlineStr">
        <is>
          <t>Custo da Inação (COI)</t>
        </is>
      </c>
    </row>
    <row r="2" ht="19.5" customHeight="1" s="129">
      <c r="B2" s="197" t="inlineStr">
        <is>
          <t>Quanto custa NÃO investir em coaching contínuo para vendas | Baseado em pesquisa MySalesCoach 2026, Ebsta, Gartner, Dixon/McKenna HBR</t>
        </is>
      </c>
    </row>
    <row r="3" ht="18" customHeight="1" s="129">
      <c r="B3" s="198" t="inlineStr">
        <is>
          <t>Este módulo expõe o GAP entre o coaching que acontece e o que deveria acontecer. Aditivo ao ROI — cria urgência antes da justificativa de investimento.</t>
        </is>
      </c>
    </row>
    <row r="4" ht="4.5" customHeight="1" s="129">
      <c r="B4" s="199" t="n"/>
    </row>
    <row r="6" ht="27.75" customHeight="1" s="129">
      <c r="B6" s="200" t="inlineStr">
        <is>
          <t xml:space="preserve">  DIMENSÃO 1 — GAP DE COBERTURA DE COACHING</t>
        </is>
      </c>
    </row>
    <row r="7" ht="24.75" customHeight="1" s="129">
      <c r="B7" s="201" t="inlineStr">
        <is>
          <t>Parâmetro</t>
        </is>
      </c>
      <c r="C7" s="201" t="inlineStr">
        <is>
          <t>Valor</t>
        </is>
      </c>
      <c r="D7" s="201" t="inlineStr">
        <is>
          <t>Unidade</t>
        </is>
      </c>
      <c r="E7" s="201" t="inlineStr">
        <is>
          <t>Fonte / Observação</t>
        </is>
      </c>
    </row>
    <row r="8" ht="19.5" customHeight="1" s="129">
      <c r="B8" s="202" t="inlineStr">
        <is>
          <t>Total de vendedores</t>
        </is>
      </c>
      <c r="C8" s="203">
        <f>IF(N(Conta!C43)&gt;0,Conta!C43,0)</f>
        <v/>
      </c>
      <c r="D8" s="204" t="inlineStr">
        <is>
          <t>vendedores</t>
        </is>
      </c>
      <c r="E8" s="205" t="inlineStr">
        <is>
          <t>Cross-reference da aba Conta</t>
        </is>
      </c>
    </row>
    <row r="9" ht="19.5" customHeight="1" s="129">
      <c r="B9" s="202" t="inlineStr">
        <is>
          <t>Vendedores cobertos/mês (hoje)</t>
        </is>
      </c>
      <c r="C9" s="203">
        <f>IF(N(Motor!C23)&gt;0,Motor!C23*Motor!C9,IF(N(Equipes!C24)&gt;0,Equipes!C24*Motor!C9,N(Conta!C43)*0.28))</f>
        <v/>
      </c>
      <c r="D9" s="204" t="inlineStr">
        <is>
          <t>vendedores</t>
        </is>
      </c>
      <c r="E9" s="205" t="inlineStr">
        <is>
          <t>Só 28% recebem coaching semanal (MySalesCoach 2026). Fórmula: cobertos × horas_train</t>
        </is>
      </c>
    </row>
    <row r="10" ht="19.5" customHeight="1" s="129">
      <c r="B10" s="202" t="inlineStr">
        <is>
          <t>Gap de cobertura de coaching</t>
        </is>
      </c>
      <c r="C10" s="206">
        <f>IF(AND(ISNUMBER(C8),C8&gt;0),IF(ISNUMBER(C9),(C8-C9)/C8,1-0.28),)</f>
        <v/>
      </c>
      <c r="D10" s="204" t="inlineStr">
        <is>
          <t>%</t>
        </is>
      </c>
      <c r="E10" s="205" t="inlineStr">
        <is>
          <t>Gap = (total - cobertos) / total. Se 100 vendedores e 28 cobertos → 72% gap</t>
        </is>
      </c>
    </row>
    <row r="11" ht="19.5" customHeight="1" s="129">
      <c r="B11" s="202" t="inlineStr">
        <is>
          <t>Vendedores NÃO treinados/mês</t>
        </is>
      </c>
      <c r="C11" s="207">
        <f>IF(ISNUMBER(C8),IF(ISNUMBER(C9),C8-C9,C8*(1-0.28)),)</f>
        <v/>
      </c>
      <c r="D11" s="204" t="inlineStr">
        <is>
          <t>vendedores</t>
        </is>
      </c>
      <c r="E11" s="205" t="inlineStr">
        <is>
          <t>Vendedores sem coaching regular</t>
        </is>
      </c>
    </row>
    <row r="13" ht="27.75" customHeight="1" s="129">
      <c r="B13" s="200" t="inlineStr">
        <is>
          <t xml:space="preserve">  DIMENSÃO 2 — PERDA DE RECEITA POR SUB-PERFORMANCE</t>
        </is>
      </c>
    </row>
    <row r="14" ht="24.75" customHeight="1" s="129">
      <c r="B14" s="201" t="inlineStr">
        <is>
          <t>Parâmetro</t>
        </is>
      </c>
      <c r="C14" s="201" t="inlineStr">
        <is>
          <t>Valor</t>
        </is>
      </c>
      <c r="D14" s="201" t="inlineStr">
        <is>
          <t>Unidade</t>
        </is>
      </c>
      <c r="E14" s="201" t="inlineStr">
        <is>
          <t>Fonte / Observação</t>
        </is>
      </c>
    </row>
    <row r="15" ht="19.5" customHeight="1" s="129">
      <c r="B15" s="202" t="inlineStr">
        <is>
          <t>Delta de atingimento de quota (quota attainment, semanal vs trimestral)</t>
        </is>
      </c>
      <c r="C15" s="208" t="n">
        <v>0.29</v>
      </c>
      <c r="D15" s="204" t="inlineStr">
        <is>
          <t>p.p.</t>
        </is>
      </c>
      <c r="E15" s="205" t="inlineStr">
        <is>
          <t>MySalesCoach 2026: 76% (semanal) vs 47% (trimestral) = 29pp gap. 3.700+ profissionais</t>
        </is>
      </c>
    </row>
    <row r="16" ht="19.5" customHeight="1" s="129">
      <c r="B16" s="202" t="inlineStr">
        <is>
          <t>Haircut COI (conservador)</t>
        </is>
      </c>
      <c r="C16" s="208" t="n">
        <v>0.5</v>
      </c>
      <c r="D16" s="204" t="n"/>
      <c r="E16" s="205" t="inlineStr">
        <is>
          <t>Desconto anti-otimismo: aplica 50% do delta. Mesma lógica dos haircuts do Motor</t>
        </is>
      </c>
    </row>
    <row r="17" ht="19.5" customHeight="1" s="129">
      <c r="B17" s="202" t="inlineStr">
        <is>
          <t>Delta efetivo de attainment</t>
        </is>
      </c>
      <c r="C17" s="209">
        <f>C15*C16</f>
        <v/>
      </c>
      <c r="D17" s="204" t="inlineStr">
        <is>
          <t>p.p.</t>
        </is>
      </c>
      <c r="E17" s="205" t="inlineStr">
        <is>
          <t>Delta aplicado com haircut</t>
        </is>
      </c>
    </row>
    <row r="18" ht="19.5" customHeight="1" s="129">
      <c r="B18" s="202" t="inlineStr">
        <is>
          <t>Receita média/vendedor/mês</t>
        </is>
      </c>
      <c r="C18" s="203">
        <f>IF(AND(ISNUMBER(Equipes!C29),Conta!C43&gt;0),Equipes!C29/Conta!C43,)</f>
        <v/>
      </c>
      <c r="D18" s="204" t="inlineStr">
        <is>
          <t>R$/mês</t>
        </is>
      </c>
      <c r="E18" s="205" t="inlineStr">
        <is>
          <t>Receita da equipe / total vendedores (cross-ref Equipes + Conta)</t>
        </is>
      </c>
    </row>
    <row r="19" ht="19.5" customHeight="1" s="129">
      <c r="B19" s="202" t="inlineStr">
        <is>
          <t>Receita perdida/vendedor não treinado/mês</t>
        </is>
      </c>
      <c r="C19" s="207">
        <f>IF(AND(ISNUMBER(C18),ISNUMBER(C17)),C18*C17,)</f>
        <v/>
      </c>
      <c r="D19" s="204" t="inlineStr">
        <is>
          <t>R$/mês</t>
        </is>
      </c>
      <c r="E19" s="205" t="inlineStr">
        <is>
          <t>receita_média × delta_efetivo (decimal)</t>
        </is>
      </c>
    </row>
    <row r="20" ht="19.5" customHeight="1" s="129">
      <c r="B20" s="202" t="inlineStr">
        <is>
          <t>Receita perdida total/mês</t>
        </is>
      </c>
      <c r="C20" s="207">
        <f>IF(AND(ISNUMBER(C19),ISNUMBER(C11)),C19*C11,)</f>
        <v/>
      </c>
      <c r="D20" s="204" t="inlineStr">
        <is>
          <t>R$/mês</t>
        </is>
      </c>
      <c r="E20" s="205" t="inlineStr">
        <is>
          <t>receita_perdida × vendedores_não_treinados</t>
        </is>
      </c>
    </row>
    <row r="21" ht="19.5" customHeight="1" s="129">
      <c r="B21" s="202" t="inlineStr">
        <is>
          <t>COI Receita Anual</t>
        </is>
      </c>
      <c r="C21" s="207">
        <f>IF(ISNUMBER(C20),C20*12,)</f>
        <v/>
      </c>
      <c r="D21" s="204" t="inlineStr">
        <is>
          <t>R$/ano</t>
        </is>
      </c>
      <c r="E21" s="205" t="inlineStr">
        <is>
          <t>Custo da inação em receita por sub-performance</t>
        </is>
      </c>
    </row>
    <row r="23" ht="27.75" customHeight="1" s="129">
      <c r="B23" s="200" t="inlineStr">
        <is>
          <t xml:space="preserve">  DIMENSÃO 3 — CUSTO DE RAMPA ESTENDIDA</t>
        </is>
      </c>
    </row>
    <row r="24" ht="24.75" customHeight="1" s="129">
      <c r="B24" s="201" t="inlineStr">
        <is>
          <t>Parâmetro</t>
        </is>
      </c>
      <c r="C24" s="201" t="inlineStr">
        <is>
          <t>Valor</t>
        </is>
      </c>
      <c r="D24" s="201" t="inlineStr">
        <is>
          <t>Unidade</t>
        </is>
      </c>
      <c r="E24" s="201" t="inlineStr">
        <is>
          <t>Fonte / Observação</t>
        </is>
      </c>
    </row>
    <row r="25" ht="19.5" customHeight="1" s="129">
      <c r="B25" s="202" t="inlineStr">
        <is>
          <t>Rampa média atual</t>
        </is>
      </c>
      <c r="C25" s="210">
        <f>IF(ISNUMBER(Equipes!C35),Equipes!C35,5.3)</f>
        <v/>
      </c>
      <c r="D25" s="204" t="inlineStr">
        <is>
          <t>meses</t>
        </is>
      </c>
      <c r="E25" s="205" t="inlineStr">
        <is>
          <t>Dado do cliente ou benchmark: 5,3 meses (CareerTrainer.ai 2026)</t>
        </is>
      </c>
    </row>
    <row r="26" ht="19.5" customHeight="1" s="129">
      <c r="B26" s="202" t="inlineStr">
        <is>
          <t>Extensão por falta de coaching</t>
        </is>
      </c>
      <c r="C26" s="211" t="n">
        <v>1.4</v>
      </c>
      <c r="D26" s="204" t="inlineStr">
        <is>
          <t>meses</t>
        </is>
      </c>
      <c r="E26" s="205" t="inlineStr">
        <is>
          <t>Ebsta 2024: rampa aumentou de 4,3 para 5,7 meses (1,4 meses adicionais)</t>
        </is>
      </c>
    </row>
    <row r="27" ht="19.5" customHeight="1" s="129">
      <c r="B27" s="202" t="inlineStr">
        <is>
          <t>Haircut rampa COI</t>
        </is>
      </c>
      <c r="C27" s="208" t="n">
        <v>0.5</v>
      </c>
      <c r="D27" s="204" t="n"/>
      <c r="E27" s="205" t="inlineStr">
        <is>
          <t>Desconto conservador: aplica 50% da extensão</t>
        </is>
      </c>
    </row>
    <row r="28" ht="19.5" customHeight="1" s="129">
      <c r="B28" s="202" t="inlineStr">
        <is>
          <t>Meses adicionais efetivos</t>
        </is>
      </c>
      <c r="C28" s="212">
        <f>C26*C27</f>
        <v/>
      </c>
      <c r="D28" s="204" t="inlineStr">
        <is>
          <t>meses</t>
        </is>
      </c>
      <c r="E28" s="205" t="inlineStr">
        <is>
          <t>extensão × haircut</t>
        </is>
      </c>
    </row>
    <row r="29" ht="19.5" customHeight="1" s="129">
      <c r="B29" s="202" t="inlineStr">
        <is>
          <t>Novos vendedores/ano</t>
        </is>
      </c>
      <c r="C29" s="203">
        <f>IF(ISNUMBER(Equipes!C36),Equipes!C36,N(Conta!C43)*0.2)</f>
        <v/>
      </c>
      <c r="D29" s="204" t="inlineStr">
        <is>
          <t>vendedores</t>
        </is>
      </c>
      <c r="E29" s="205" t="inlineStr">
        <is>
          <t>Dado do cliente ou estimativa: ~20% turnover/ano</t>
        </is>
      </c>
    </row>
    <row r="30" ht="19.5" customHeight="1" s="129">
      <c r="B30" s="202" t="inlineStr">
        <is>
          <t>Receita perdida/mês por vendedor em rampa</t>
        </is>
      </c>
      <c r="C30" s="207">
        <f>IF(ISNUMBER(C18),C18*0.5,)</f>
        <v/>
      </c>
      <c r="D30" s="204" t="inlineStr">
        <is>
          <t>R$/mês</t>
        </is>
      </c>
      <c r="E30" s="205" t="inlineStr">
        <is>
          <t>Vendedor em rampa gera ~50% da receita plena (conservador)</t>
        </is>
      </c>
    </row>
    <row r="31" ht="19.5" customHeight="1" s="129">
      <c r="B31" s="202" t="inlineStr">
        <is>
          <t>COI Rampa Anual</t>
        </is>
      </c>
      <c r="C31" s="207">
        <f>IF(AND(ISNUMBER(C28),ISNUMBER(C29),ISNUMBER(C30)),C28*C29*C30,)</f>
        <v/>
      </c>
      <c r="D31" s="204" t="inlineStr">
        <is>
          <t>R$/ano</t>
        </is>
      </c>
      <c r="E31" s="205" t="inlineStr">
        <is>
          <t>meses_adicionais × novos_ano × receita_perdida_rampa</t>
        </is>
      </c>
    </row>
    <row r="33" ht="27.75" customHeight="1" s="129">
      <c r="B33" s="200" t="inlineStr">
        <is>
          <t xml:space="preserve">  DIMENSÃO 4 — CUSTO DE TURNOVER POR FALTA DE COACHING</t>
        </is>
      </c>
    </row>
    <row r="34" ht="24.75" customHeight="1" s="129">
      <c r="B34" s="201" t="inlineStr">
        <is>
          <t>Parâmetro</t>
        </is>
      </c>
      <c r="C34" s="201" t="inlineStr">
        <is>
          <t>Valor</t>
        </is>
      </c>
      <c r="D34" s="201" t="inlineStr">
        <is>
          <t>Unidade</t>
        </is>
      </c>
      <c r="E34" s="201" t="inlineStr">
        <is>
          <t>Fonte / Observação</t>
        </is>
      </c>
    </row>
    <row r="35" ht="19.5" customHeight="1" s="129">
      <c r="B35" s="202" t="inlineStr">
        <is>
          <t>Taxa de retenção com coaching frequente</t>
        </is>
      </c>
      <c r="C35" s="208" t="n">
        <v>0.74</v>
      </c>
      <c r="D35" s="204" t="inlineStr">
        <is>
          <t>%</t>
        </is>
      </c>
      <c r="E35" s="205" t="inlineStr">
        <is>
          <t>MySalesCoach 2026: 74% dos SDRs com coaching esperam ficar 12 meses</t>
        </is>
      </c>
    </row>
    <row r="36" ht="19.5" customHeight="1" s="129">
      <c r="B36" s="202" t="inlineStr">
        <is>
          <t>Taxa de retenção sem coaching</t>
        </is>
      </c>
      <c r="C36" s="208" t="n">
        <v>0.34</v>
      </c>
      <c r="D36" s="204" t="inlineStr">
        <is>
          <t>%</t>
        </is>
      </c>
      <c r="E36" s="205" t="inlineStr">
        <is>
          <t>MySalesCoach 2026: apenas 34% sem coaching esperam ficar. Gap de 40pp</t>
        </is>
      </c>
    </row>
    <row r="37" ht="19.5" customHeight="1" s="129">
      <c r="B37" s="202" t="inlineStr">
        <is>
          <t>Delta de attrition</t>
        </is>
      </c>
      <c r="C37" s="209">
        <f>C35-C36</f>
        <v/>
      </c>
      <c r="D37" s="204" t="inlineStr">
        <is>
          <t>p.p.</t>
        </is>
      </c>
      <c r="E37" s="205" t="inlineStr">
        <is>
          <t>Diferença de retenção entre com e sem coaching</t>
        </is>
      </c>
    </row>
    <row r="38" ht="19.5" customHeight="1" s="129">
      <c r="B38" s="202" t="inlineStr">
        <is>
          <t>Taxa de turnover adicional</t>
        </is>
      </c>
      <c r="C38" s="209">
        <f>IF(ISNUMBER(C37),C37,)</f>
        <v/>
      </c>
      <c r="D38" s="204" t="inlineStr">
        <is>
          <t>%</t>
        </is>
      </c>
      <c r="E38" s="205" t="inlineStr">
        <is>
          <t>Proporção extra de vendedores que saem por falta de coaching</t>
        </is>
      </c>
    </row>
    <row r="39" ht="19.5" customHeight="1" s="129">
      <c r="B39" s="202" t="inlineStr">
        <is>
          <t>Salário mensal do vendedor</t>
        </is>
      </c>
      <c r="C39" s="203">
        <f>IF(ISNUMBER(Equipes!C37),Equipes!C37,0)</f>
        <v/>
      </c>
      <c r="D39" s="204" t="inlineStr">
        <is>
          <t>R$/mês</t>
        </is>
      </c>
      <c r="E39" s="205" t="inlineStr">
        <is>
          <t>Dado do cliente (aba Equipes)</t>
        </is>
      </c>
    </row>
    <row r="40" ht="19.5" customHeight="1" s="129">
      <c r="B40" s="202" t="inlineStr">
        <is>
          <t>Custo de substituição (multiplicador)</t>
        </is>
      </c>
      <c r="C40" s="211" t="n">
        <v>1</v>
      </c>
      <c r="D40" s="204" t="inlineStr">
        <is>
          <t>× salário</t>
        </is>
      </c>
      <c r="E40" s="205" t="inlineStr">
        <is>
          <t>Range: 50-150% do salário anual (SHRM/Gallup). 1× = conservador</t>
        </is>
      </c>
    </row>
    <row r="41" ht="19.5" customHeight="1" s="129">
      <c r="B41" s="202" t="inlineStr">
        <is>
          <t>Custo por turnover</t>
        </is>
      </c>
      <c r="C41" s="207">
        <f>IF(AND(ISNUMBER(C39),ISNUMBER(C40)),C39*Premissas!C8*C40*12,)</f>
        <v/>
      </c>
      <c r="D41" s="204" t="inlineStr">
        <is>
          <t>R$/pessoa</t>
        </is>
      </c>
      <c r="E41" s="205" t="inlineStr">
        <is>
          <t>salário × encargos × multiplicador × 12</t>
        </is>
      </c>
    </row>
    <row r="42" ht="19.5" customHeight="1" s="129">
      <c r="B42" s="202" t="inlineStr">
        <is>
          <t>COI Turnover Anual</t>
        </is>
      </c>
      <c r="C42" s="207">
        <f>IF(AND(ISNUMBER(C38),ISNUMBER(C8),ISNUMBER(C41)),C38*C8*C41,)</f>
        <v/>
      </c>
      <c r="D42" s="204" t="inlineStr">
        <is>
          <t>R$/ano</t>
        </is>
      </c>
      <c r="E42" s="205" t="inlineStr">
        <is>
          <t>turnover_adicional × vendedores_total × custo_por_turnover</t>
        </is>
      </c>
    </row>
    <row r="44" ht="27.75" customHeight="1" s="129">
      <c r="B44" s="200" t="inlineStr">
        <is>
          <t xml:space="preserve">  DIMENSÃO 5 — IMPOSTO DO APRENDIZADO EM VIVO (LIVE-LEARNING TAX)</t>
        </is>
      </c>
    </row>
    <row r="45" ht="24.75" customHeight="1" s="129">
      <c r="B45" s="201" t="inlineStr">
        <is>
          <t>Parâmetro</t>
        </is>
      </c>
      <c r="C45" s="201" t="inlineStr">
        <is>
          <t>Valor</t>
        </is>
      </c>
      <c r="D45" s="201" t="inlineStr">
        <is>
          <t>Unidade</t>
        </is>
      </c>
      <c r="E45" s="201" t="inlineStr">
        <is>
          <t>Fonte / Observação</t>
        </is>
      </c>
    </row>
    <row r="46" ht="19.5" customHeight="1" s="129">
      <c r="B46" s="202" t="inlineStr">
        <is>
          <t>Taxa de negócios perdidos por "sem decisão" (no decision / status quo)</t>
        </is>
      </c>
      <c r="C46" s="208" t="n">
        <v>0.5</v>
      </c>
      <c r="D46" s="204" t="inlineStr">
        <is>
          <t>%</t>
        </is>
      </c>
      <c r="E46" s="205" t="inlineStr">
        <is>
          <t>Dixon &amp; McKenna HBR: 40-60% dos deals B2B perdidos para "no decision". 50% = ponto médio</t>
        </is>
      </c>
    </row>
    <row r="47" ht="19.5" customHeight="1" s="129">
      <c r="B47" s="202" t="inlineStr">
        <is>
          <t>Fração de "no decisions" atribuíveis a falta de coaching</t>
        </is>
      </c>
      <c r="C47" s="208" t="n">
        <v>0.2</v>
      </c>
      <c r="D47" s="204" t="inlineStr">
        <is>
          <t>%</t>
        </is>
      </c>
      <c r="E47" s="205" t="inlineStr">
        <is>
          <t>Conservador: 20% dos negócios em status quo seriam ganhos com coaching de descoberta (discovery)</t>
        </is>
      </c>
    </row>
    <row r="48" ht="19.5" customHeight="1" s="129">
      <c r="B48" s="202" t="inlineStr">
        <is>
          <t>Ticket médio</t>
        </is>
      </c>
      <c r="C48" s="203">
        <f>IF(ISNUMBER(Equipes!C30),Equipes!C30,0)</f>
        <v/>
      </c>
      <c r="D48" s="204" t="inlineStr">
        <is>
          <t>R$</t>
        </is>
      </c>
      <c r="E48" s="205" t="inlineStr">
        <is>
          <t>Cross-reference da aba Equipes</t>
        </is>
      </c>
    </row>
    <row r="49" ht="19.5" customHeight="1" s="129">
      <c r="B49" s="202" t="inlineStr">
        <is>
          <t>Deals ganhos adicionalmente/mês</t>
        </is>
      </c>
      <c r="C49" s="209">
        <f>IF(AND(ISNUMBER(C18),ISNUMBER(C8),ISNUMBER(C48),ISNUMBER(C46),ISNUMBER(C47)),(C18*C8/C48)*C46*C47,)</f>
        <v/>
      </c>
      <c r="D49" s="204" t="inlineStr">
        <is>
          <t>deals/mês</t>
        </is>
      </c>
      <c r="E49" s="205" t="inlineStr">
        <is>
          <t>(receita_total/ticket) × taxa_no_decision × fração_coachável</t>
        </is>
      </c>
    </row>
    <row r="50" ht="19.5" customHeight="1" s="129">
      <c r="B50" s="202" t="inlineStr">
        <is>
          <t>COI Live-Learning Anual</t>
        </is>
      </c>
      <c r="C50" s="207">
        <f>IF(AND(ISNUMBER(C49),ISNUMBER(C48)),C49*C48*12,)</f>
        <v/>
      </c>
      <c r="D50" s="204" t="inlineStr">
        <is>
          <t>R$/ano</t>
        </is>
      </c>
      <c r="E50" s="205" t="inlineStr">
        <is>
          <t>deals_adicionais × ticket × 12</t>
        </is>
      </c>
    </row>
    <row r="52" ht="27.75" customHeight="1" s="129">
      <c r="B52" s="200" t="inlineStr">
        <is>
          <t xml:space="preserve">  DIMENSÃO 6 — CUSTO DA FILA DE ESPERA POR COACHING</t>
        </is>
      </c>
    </row>
    <row r="53" ht="24.75" customHeight="1" s="129">
      <c r="B53" s="201" t="inlineStr">
        <is>
          <t>Parâmetro</t>
        </is>
      </c>
      <c r="C53" s="201" t="inlineStr">
        <is>
          <t>Valor</t>
        </is>
      </c>
      <c r="D53" s="201" t="inlineStr">
        <is>
          <t>Unidade</t>
        </is>
      </c>
      <c r="E53" s="201" t="inlineStr">
        <is>
          <t>Fonte / Observação</t>
        </is>
      </c>
    </row>
    <row r="54" ht="19.5" customHeight="1" s="129">
      <c r="B54" s="202" t="inlineStr">
        <is>
          <t>Vendedores na fila de espera por coaching</t>
        </is>
      </c>
      <c r="C54" s="207">
        <f>IF(ISNUMBER(C11),C11,0)</f>
        <v/>
      </c>
      <c r="D54" s="204" t="inlineStr">
        <is>
          <t>vendedores</t>
        </is>
      </c>
      <c r="E54" s="205" t="inlineStr">
        <is>
          <t>Mesmos vendedores não treinados (Dimensão 1). Aguardam vaga na agenda do gerente</t>
        </is>
      </c>
    </row>
    <row r="55" ht="19.5" customHeight="1" s="129">
      <c r="B55" s="202" t="inlineStr">
        <is>
          <t>Semanas médias de espera</t>
        </is>
      </c>
      <c r="C55" s="211" t="n">
        <v>2</v>
      </c>
      <c r="D55" s="204" t="inlineStr">
        <is>
          <t>semanas</t>
        </is>
      </c>
      <c r="E55" s="205" t="inlineStr">
        <is>
          <t>Conservador: 2 semanas até conseguir 1h de coaching. Em ops grandes pode ser 4+</t>
        </is>
      </c>
    </row>
    <row r="56" ht="19.5" customHeight="1" s="129">
      <c r="B56" s="202" t="inlineStr">
        <is>
          <t>Horas produtivas perdidas/vendedor/semana de espera</t>
        </is>
      </c>
      <c r="C56" s="211" t="n">
        <v>0.5</v>
      </c>
      <c r="D56" s="204" t="inlineStr">
        <is>
          <t>h/semana</t>
        </is>
      </c>
      <c r="E56" s="205" t="inlineStr">
        <is>
          <t>Cada semana sem coaching = meio dia de produtividade subótima</t>
        </is>
      </c>
    </row>
    <row r="57" ht="19.5" customHeight="1" s="129">
      <c r="B57" s="202" t="inlineStr">
        <is>
          <t>Custo/hora do vendedor</t>
        </is>
      </c>
      <c r="C57" s="207">
        <f>IF(AND(ISNUMBER(C39),ISNUMBER(Premissas!C8)),C39*Premissas!C8/Premissas!C9,)</f>
        <v/>
      </c>
      <c r="D57" s="204" t="inlineStr">
        <is>
          <t>R$/h</t>
        </is>
      </c>
      <c r="E57" s="205" t="inlineStr">
        <is>
          <t>salário × encargos / jornada mensal (Premissas!C9)</t>
        </is>
      </c>
    </row>
    <row r="58" ht="19.5" customHeight="1" s="129">
      <c r="B58" s="202" t="inlineStr">
        <is>
          <t>COI Fila Anual</t>
        </is>
      </c>
      <c r="C58" s="207">
        <f>IF(AND(ISNUMBER(C54),ISNUMBER(C55),ISNUMBER(C56),ISNUMBER(C57)),C54*C55*C56*C57*12,)</f>
        <v/>
      </c>
      <c r="D58" s="204" t="inlineStr">
        <is>
          <t>R$/ano</t>
        </is>
      </c>
      <c r="E58" s="205" t="inlineStr">
        <is>
          <t>vendedores_fila × semanas_espera × horas_perdidas × custo_hora × 12</t>
        </is>
      </c>
    </row>
    <row r="60" ht="27.75" customHeight="1" s="129">
      <c r="B60" s="200" t="inlineStr">
        <is>
          <t xml:space="preserve">  DIAGNÓSTICO — PROBLEMA ESTRUTURAL DE CAPACIDADE DO GERENTE (bandwidth)</t>
        </is>
      </c>
    </row>
    <row r="61" ht="24.75" customHeight="1" s="129">
      <c r="B61" s="201" t="inlineStr">
        <is>
          <t>Parâmetro</t>
        </is>
      </c>
      <c r="C61" s="201" t="inlineStr">
        <is>
          <t>Valor</t>
        </is>
      </c>
      <c r="D61" s="201" t="inlineStr">
        <is>
          <t>Unidade</t>
        </is>
      </c>
      <c r="E61" s="201" t="inlineStr">
        <is>
          <t>Fonte / Observação</t>
        </is>
      </c>
    </row>
    <row r="62" ht="19.5" customHeight="1" s="129">
      <c r="B62" s="202" t="inlineStr">
        <is>
          <t>Gerentes de treinamento</t>
        </is>
      </c>
      <c r="C62" s="203">
        <f>IF(ISNUMBER(Equipes!C22),Equipes!C22,1)</f>
        <v/>
      </c>
      <c r="D62" s="204" t="inlineStr">
        <is>
          <t>gerentes</t>
        </is>
      </c>
      <c r="E62" s="205" t="inlineStr">
        <is>
          <t>Dado do cliente (aba Equipes). Default: 1</t>
        </is>
      </c>
    </row>
    <row r="63" ht="19.5" customHeight="1" s="129">
      <c r="B63" s="202" t="inlineStr">
        <is>
          <t>Horas de coaching/gerente/mês (capacidade)</t>
        </is>
      </c>
      <c r="C63" s="213">
        <f>IF(ISNUMBER(Equipes!C23),Equipes!C23,16)</f>
        <v/>
      </c>
      <c r="D63" s="204" t="inlineStr">
        <is>
          <t>h/mês</t>
        </is>
      </c>
      <c r="E63" s="205" t="inlineStr">
        <is>
          <t>Equipes!C23 = horas que o gerente dedica. Default: 16h (2 semanas)</t>
        </is>
      </c>
    </row>
    <row r="64" ht="19.5" customHeight="1" s="129">
      <c r="B64" s="202" t="inlineStr">
        <is>
          <t>Capacidade total de coaching/mês</t>
        </is>
      </c>
      <c r="C64" s="214">
        <f>C62*C63</f>
        <v/>
      </c>
      <c r="D64" s="204" t="inlineStr">
        <is>
          <t>h/mês</t>
        </is>
      </c>
      <c r="E64" s="205" t="inlineStr">
        <is>
          <t>gerentes × horas/gerente</t>
        </is>
      </c>
    </row>
    <row r="65" ht="19.5" customHeight="1" s="129">
      <c r="B65" s="202" t="inlineStr">
        <is>
          <t>Demanda necessária de coaching/mês</t>
        </is>
      </c>
      <c r="C65" s="214">
        <f>IF(ISNUMBER(C8),C8*2,)</f>
        <v/>
      </c>
      <c r="D65" s="204" t="inlineStr">
        <is>
          <t>h/mês</t>
        </is>
      </c>
      <c r="E65" s="205" t="inlineStr">
        <is>
          <t>2h/mês por vendedor (benchmark MySalesCoach: mínimo para impacto)</t>
        </is>
      </c>
    </row>
    <row r="66" ht="19.5" customHeight="1" s="129">
      <c r="B66" s="202" t="inlineStr">
        <is>
          <t>Gap de capacidade (bandwidth)</t>
        </is>
      </c>
      <c r="C66" s="214">
        <f>IF(AND(ISNUMBER(C65),ISNUMBER(C64)),C65-C64,)</f>
        <v/>
      </c>
      <c r="D66" s="204" t="inlineStr">
        <is>
          <t>h/mês</t>
        </is>
      </c>
      <c r="E66" s="205" t="inlineStr">
        <is>
          <t>demanda - capacidade. Negativo = OK; Positivo = déficit estrutural</t>
        </is>
      </c>
    </row>
    <row r="67" ht="19.5" customHeight="1" s="129">
      <c r="B67" s="202" t="inlineStr">
        <is>
          <t>% da demanda não atendida</t>
        </is>
      </c>
      <c r="C67" s="215">
        <f>IF(AND(ISNUMBER(C66),ISNUMBER(C65),C65&lt;&gt;0),IF(C66&gt;0,C66/C65,0),)</f>
        <v/>
      </c>
      <c r="D67" s="204" t="inlineStr">
        <is>
          <t>%</t>
        </is>
      </c>
      <c r="E67" s="205" t="inlineStr">
        <is>
          <t>Se &gt; 50%, o problema é estrutural: não é falta de vontade, é falta de capacidade</t>
        </is>
      </c>
    </row>
    <row r="69" ht="27.75" customHeight="1" s="129">
      <c r="B69" s="216" t="inlineStr">
        <is>
          <t xml:space="preserve">  RESUMO — CUSTO TOTAL DA INAÇÃO (COI TOTAL)</t>
        </is>
      </c>
    </row>
    <row r="70" ht="24.75" customHeight="1" s="129">
      <c r="B70" s="201" t="inlineStr">
        <is>
          <t>Componente</t>
        </is>
      </c>
      <c r="C70" s="201" t="inlineStr">
        <is>
          <t>COI Anual (R$)</t>
        </is>
      </c>
      <c r="D70" s="201" t="inlineStr">
        <is>
          <t>% do COI Total</t>
        </is>
      </c>
      <c r="E70" s="201" t="inlineStr">
        <is>
          <t>Observação</t>
        </is>
      </c>
    </row>
    <row r="71" ht="19.5" customHeight="1" s="129">
      <c r="B71" s="217" t="inlineStr">
        <is>
          <t>Perda de receita por subdesempenho (sub-performance)</t>
        </is>
      </c>
      <c r="C71" s="218">
        <f>C21</f>
        <v/>
      </c>
      <c r="D71" s="219">
        <f>IF(C$76&lt;&gt;0,C71/C$76,0)</f>
        <v/>
      </c>
      <c r="E71" s="205" t="inlineStr">
        <is>
          <t>Maior COI: vendedores não treinados performam pior</t>
        </is>
      </c>
    </row>
    <row r="72" ht="19.5" customHeight="1" s="129">
      <c r="B72" s="217" t="inlineStr">
        <is>
          <t>Custo de rampa estendida</t>
        </is>
      </c>
      <c r="C72" s="218">
        <f>C31</f>
        <v/>
      </c>
      <c r="D72" s="219">
        <f>IF(C$76&lt;&gt;0,C72/C$76,0)</f>
        <v/>
      </c>
      <c r="E72" s="205" t="inlineStr">
        <is>
          <t>Novos vendedores demoram mais sem coaching estruturado</t>
        </is>
      </c>
    </row>
    <row r="73" ht="19.5" customHeight="1" s="129">
      <c r="B73" s="217" t="inlineStr">
        <is>
          <t>Custo de turnover</t>
        </is>
      </c>
      <c r="C73" s="218">
        <f>C42</f>
        <v/>
      </c>
      <c r="D73" s="219">
        <f>IF(C$76&lt;&gt;0,C73/C$76,0)</f>
        <v/>
      </c>
      <c r="E73" s="205" t="inlineStr">
        <is>
          <t>Reps sem coaching ficam 2× mais propensos a sair</t>
        </is>
      </c>
    </row>
    <row r="74" ht="19.5" customHeight="1" s="129">
      <c r="B74" s="217" t="inlineStr">
        <is>
          <t>Imposto do aprendizado em vivo</t>
        </is>
      </c>
      <c r="C74" s="218">
        <f>C50</f>
        <v/>
      </c>
      <c r="D74" s="219">
        <f>IF(C$76&lt;&gt;0,C74/C$76,0)</f>
        <v/>
      </c>
      <c r="E74" s="205" t="inlineStr">
        <is>
          <t>Negócios perdidos por "sem decisão" que coaching resolveria</t>
        </is>
      </c>
    </row>
    <row r="75" ht="19.5" customHeight="1" s="129">
      <c r="B75" s="217" t="inlineStr">
        <is>
          <t>Custo da fila de espera</t>
        </is>
      </c>
      <c r="C75" s="218">
        <f>C58</f>
        <v/>
      </c>
      <c r="D75" s="219">
        <f>IF(C$76&lt;&gt;0,C75/C$76,0)</f>
        <v/>
      </c>
      <c r="E75" s="205" t="inlineStr">
        <is>
          <t>Vendedores esperando coaching = produtividade perdida</t>
        </is>
      </c>
    </row>
    <row r="76" ht="24" customHeight="1" s="129">
      <c r="B76" s="220" t="inlineStr">
        <is>
          <t>COI TOTAL ANUAL</t>
        </is>
      </c>
      <c r="C76" s="221">
        <f>SUM(C71:C75)</f>
        <v/>
      </c>
      <c r="D76" s="222" t="n">
        <v>1</v>
      </c>
      <c r="E76" s="223" t="inlineStr">
        <is>
          <t>Soma de todos os custos da inação. Este é o preço de NÃO investir em coaching.</t>
        </is>
      </c>
    </row>
    <row r="79" ht="27.75" customHeight="1" s="129">
      <c r="B79" s="216" t="inlineStr">
        <is>
          <t xml:space="preserve">  MÉTRICA DE URGÊNCIA — COI vs INVESTIMENTO PERFECTING</t>
        </is>
      </c>
    </row>
    <row r="80" ht="24.75" customHeight="1" s="129">
      <c r="B80" s="201" t="inlineStr">
        <is>
          <t>Métrica</t>
        </is>
      </c>
      <c r="C80" s="201" t="inlineStr">
        <is>
          <t>Valor</t>
        </is>
      </c>
      <c r="D80" s="201" t="inlineStr">
        <is>
          <t>Unidade</t>
        </is>
      </c>
      <c r="E80" s="201" t="inlineStr">
        <is>
          <t>Interpretação</t>
        </is>
      </c>
    </row>
    <row r="81" ht="19.5" customHeight="1" s="129">
      <c r="B81" s="202" t="inlineStr">
        <is>
          <t>COI Total Anual</t>
        </is>
      </c>
      <c r="C81" s="203">
        <f>C76</f>
        <v/>
      </c>
      <c r="D81" s="204" t="inlineStr">
        <is>
          <t>R$/ano</t>
        </is>
      </c>
      <c r="E81" s="205" t="inlineStr">
        <is>
          <t>Quanto custa não agir por 1 ano</t>
        </is>
      </c>
    </row>
    <row r="82" ht="19.5" customHeight="1" s="129">
      <c r="B82" s="202" t="inlineStr">
        <is>
          <t>COI Mensal</t>
        </is>
      </c>
      <c r="C82" s="218">
        <f>C76/12</f>
        <v/>
      </c>
      <c r="D82" s="204" t="inlineStr">
        <is>
          <t>R$/mês</t>
        </is>
      </c>
      <c r="E82" s="205" t="inlineStr">
        <is>
          <t>Custo da inação por mês — benchmark vs mensalidade Perfecting</t>
        </is>
      </c>
    </row>
    <row r="83" ht="19.5" customHeight="1" s="129">
      <c r="B83" s="202" t="inlineStr">
        <is>
          <t>Mensalidade Perfecting (estimada)</t>
        </is>
      </c>
      <c r="C83" s="203">
        <f>Conta!C22</f>
        <v/>
      </c>
      <c r="D83" s="204" t="inlineStr">
        <is>
          <t>R$/mês</t>
        </is>
      </c>
      <c r="E83" s="205" t="inlineStr">
        <is>
          <t>Cross-reference da aba Conta</t>
        </is>
      </c>
    </row>
    <row r="84" ht="19.5" customHeight="1" s="129">
      <c r="B84" s="202" t="inlineStr">
        <is>
          <t>Razão COI / Investimento</t>
        </is>
      </c>
      <c r="C84" s="224">
        <f>IF(AND(ISNUMBER(C76),N(Conta!C22)&gt;0),C76/(Conta!C22*12),)</f>
        <v/>
      </c>
      <c r="D84" s="204" t="inlineStr">
        <is>
          <t>×</t>
        </is>
      </c>
      <c r="E84" s="205" t="inlineStr">
        <is>
          <t>COI anual / investimento anual. &gt;1 = inação custa mais que agir</t>
        </is>
      </c>
    </row>
    <row r="85" ht="19.5" customHeight="1" s="129">
      <c r="B85" s="202" t="inlineStr">
        <is>
          <t>COI diário</t>
        </is>
      </c>
      <c r="C85" s="218">
        <f>C76/365</f>
        <v/>
      </c>
      <c r="D85" s="204" t="inlineStr">
        <is>
          <t>R$/dia</t>
        </is>
      </c>
      <c r="E85" s="205" t="inlineStr">
        <is>
          <t>Custo por dia de inação. Cada dia sem ação = este valor perdido</t>
        </is>
      </c>
    </row>
    <row r="87" ht="27.75" customHeight="1" s="129">
      <c r="B87" s="200" t="inlineStr">
        <is>
          <t xml:space="preserve">  REFERÊNCIAS E BENCHMARKS UTILIZADOS</t>
        </is>
      </c>
    </row>
    <row r="88" ht="24.75" customHeight="1" s="129">
      <c r="B88" s="201" t="inlineStr">
        <is>
          <t>Fonte</t>
        </is>
      </c>
      <c r="C88" s="201" t="inlineStr">
        <is>
          <t>Dado</t>
        </is>
      </c>
      <c r="D88" s="201" t="inlineStr">
        <is>
          <t>Ano</t>
        </is>
      </c>
      <c r="E88" s="201" t="inlineStr">
        <is>
          <t>Detalhe</t>
        </is>
      </c>
    </row>
    <row r="89" ht="18" customHeight="1" s="129">
      <c r="B89" s="202" t="inlineStr">
        <is>
          <t>MySalesCoach</t>
        </is>
      </c>
      <c r="C89" s="202" t="inlineStr">
        <is>
          <t>29pp gap quota</t>
        </is>
      </c>
      <c r="D89" s="204" t="inlineStr">
        <is>
          <t>2026</t>
        </is>
      </c>
      <c r="E89" s="205" t="inlineStr">
        <is>
          <t>Semanal 76% vs trimestral 47%. 3.700+ profissionais. State of Sales Coaching 2026</t>
        </is>
      </c>
    </row>
    <row r="90" ht="18" customHeight="1" s="129">
      <c r="B90" s="202" t="inlineStr">
        <is>
          <t>MySalesCoach</t>
        </is>
      </c>
      <c r="C90" s="202" t="inlineStr">
        <is>
          <t>45% coaching below avg</t>
        </is>
      </c>
      <c r="D90" s="204" t="inlineStr">
        <is>
          <t>2026</t>
        </is>
      </c>
      <c r="E90" s="205" t="inlineStr">
        <is>
          <t>Subida de 29% (2025) para 45% (2026). Gap de execução, não atitude</t>
        </is>
      </c>
    </row>
    <row r="91" ht="18" customHeight="1" s="129">
      <c r="B91" s="202" t="inlineStr">
        <is>
          <t>MySalesCoach</t>
        </is>
      </c>
      <c r="C91" s="202" t="inlineStr">
        <is>
          <t>41% never/rarely coached</t>
        </is>
      </c>
      <c r="D91" s="204" t="inlineStr">
        <is>
          <t>2026</t>
        </is>
      </c>
      <c r="E91" s="205" t="inlineStr">
        <is>
          <t>Apesar de 64% dos líderes acharem que coacham mais</t>
        </is>
      </c>
    </row>
    <row r="92" ht="18" customHeight="1" s="129">
      <c r="B92" s="202" t="inlineStr">
        <is>
          <t>MySalesCoach</t>
        </is>
      </c>
      <c r="C92" s="202" t="inlineStr">
        <is>
          <t>40pp retention gap</t>
        </is>
      </c>
      <c r="D92" s="204" t="inlineStr">
        <is>
          <t>2026</t>
        </is>
      </c>
      <c r="E92" s="205" t="inlineStr">
        <is>
          <t>SDRs com coaching: 74% ficam. Sem coaching: 34% ficam</t>
        </is>
      </c>
    </row>
    <row r="93" ht="18" customHeight="1" s="129">
      <c r="B93" s="202" t="inlineStr">
        <is>
          <t>Ebsta</t>
        </is>
      </c>
      <c r="C93" s="202" t="inlineStr">
        <is>
          <t>Rampa: 4.3 para 5.7 meses</t>
        </is>
      </c>
      <c r="D93" s="204" t="inlineStr">
        <is>
          <t>2024</t>
        </is>
      </c>
      <c r="E93" s="205" t="inlineStr">
        <is>
          <t>Aumento de 1,4 meses no tempo de rampa B2B</t>
        </is>
      </c>
    </row>
    <row r="94" ht="18" customHeight="1" s="129">
      <c r="B94" s="202" t="inlineStr">
        <is>
          <t>Gartner</t>
        </is>
      </c>
      <c r="C94" s="202" t="inlineStr">
        <is>
          <t>6 in 10 lack coaching</t>
        </is>
      </c>
      <c r="D94" s="204" t="inlineStr">
        <is>
          <t>2024</t>
        </is>
      </c>
      <c r="E94" s="205" t="inlineStr">
        <is>
          <t>60% dos funcionários não recebem coaching necessário no trabalho</t>
        </is>
      </c>
    </row>
    <row r="95" ht="18" customHeight="1" s="129">
      <c r="B95" s="202" t="inlineStr">
        <is>
          <t>Dixon/McKenna HBR</t>
        </is>
      </c>
      <c r="C95" s="202" t="inlineStr">
        <is>
          <t>40-60% negócios = sem decisão (no decision)</t>
        </is>
      </c>
      <c r="D95" s="204" t="inlineStr">
        <is>
          <t>2019</t>
        </is>
      </c>
      <c r="E95" s="205" t="inlineStr">
        <is>
          <t>Maioria das perdas B2B não vai para concorrência, vai para status quo</t>
        </is>
      </c>
    </row>
    <row r="96" ht="18" customHeight="1" s="129">
      <c r="B96" s="202" t="inlineStr">
        <is>
          <t>Deloitte</t>
        </is>
      </c>
      <c r="C96" s="202" t="inlineStr">
        <is>
          <t>Span of control: 9.7</t>
        </is>
      </c>
      <c r="D96" s="204" t="inlineStr">
        <is>
          <t>2023</t>
        </is>
      </c>
      <c r="E96" s="205" t="inlineStr">
        <is>
          <t>Média Fortune 500, subiu de 7.1 em 2010</t>
        </is>
      </c>
    </row>
    <row r="97" ht="18" customHeight="1" s="129">
      <c r="B97" s="202" t="inlineStr">
        <is>
          <t>CareerTrainer.ai</t>
        </is>
      </c>
      <c r="C97" s="202" t="inlineStr">
        <is>
          <t>Rampa média: 5.3 meses</t>
        </is>
      </c>
      <c r="D97" s="204" t="inlineStr">
        <is>
          <t>2026</t>
        </is>
      </c>
      <c r="E97" s="205" t="inlineStr">
        <is>
          <t>AE 4.4m, SDR 3.2m. Benchmark global consolidado</t>
        </is>
      </c>
    </row>
    <row r="99" ht="27.75" customHeight="1" s="129">
      <c r="B99" s="200" t="inlineStr">
        <is>
          <t xml:space="preserve">  NOTAS METODOLÓGICAS</t>
        </is>
      </c>
    </row>
    <row r="100" ht="21.75" customHeight="1" s="129">
      <c r="B100" s="225" t="inlineStr">
        <is>
          <t>① O COI é ADITIVO ao ROI — não substitui. ROI responde "quanto retorno?". COI responde "quanto custa não fazer nada?"</t>
        </is>
      </c>
    </row>
    <row r="101" ht="21.75" customHeight="1" s="129">
      <c r="B101" s="225" t="inlineStr">
        <is>
          <t>② Haircuts conservadores (50%) aplicados em cada dimensão para evitar overclaim, seguindo a mesma lógica anti-otimismo do Motor</t>
        </is>
      </c>
    </row>
    <row r="102" ht="21.75" customHeight="1" s="129">
      <c r="B102" s="225" t="inlineStr">
        <is>
          <t>③ Células em azul (fonte) são inputs editáveis — ajuste para refletir a realidade do cliente. Células em verde são cross-references de outras abas</t>
        </is>
      </c>
    </row>
    <row r="103" ht="21.75" customHeight="1" s="129">
      <c r="B103" s="225" t="inlineStr">
        <is>
          <t>④ A Dimensão 1 (Gap de Cobertura) é o indicador-chave: se gap de cobertura &lt; 20%, o COI será pequeno. Se &gt; 60%, o COI explode</t>
        </is>
      </c>
    </row>
    <row r="104" ht="21.75" customHeight="1" s="129">
      <c r="B104" s="225" t="inlineStr">
        <is>
          <t>⑤ O diagnóstico de bandwidth (Seção 7) prova que o problema é estrutural: não é falta de vontade do gerente, é falta de capacidade</t>
        </is>
      </c>
    </row>
    <row r="105" ht="21.75" customHeight="1" s="129">
      <c r="B105" s="225" t="inlineStr">
        <is>
          <t>⑥ Todos os dados de pesquisa são de fontes públicas e auditáveis. Os inputs podem ser substituídos por dados do cliente quando disponíveis</t>
        </is>
      </c>
    </row>
  </sheetData>
  <mergeCells count="21">
    <mergeCell ref="B6:E6"/>
    <mergeCell ref="B33:E33"/>
    <mergeCell ref="B104:E104"/>
    <mergeCell ref="B79:E79"/>
    <mergeCell ref="B4:E4"/>
    <mergeCell ref="B100:E100"/>
    <mergeCell ref="B3:E3"/>
    <mergeCell ref="B102:E102"/>
    <mergeCell ref="B105:E105"/>
    <mergeCell ref="B52:E52"/>
    <mergeCell ref="B2:E2"/>
    <mergeCell ref="B101:E101"/>
    <mergeCell ref="B60:E60"/>
    <mergeCell ref="B23:E23"/>
    <mergeCell ref="B1:E1"/>
    <mergeCell ref="B13:E13"/>
    <mergeCell ref="B69:E69"/>
    <mergeCell ref="B44:E44"/>
    <mergeCell ref="B87:E87"/>
    <mergeCell ref="B103:E103"/>
    <mergeCell ref="B99:E9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G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20" customWidth="1" style="128" min="2" max="2"/>
    <col width="22.01" customWidth="1" style="128" min="3" max="3"/>
    <col width="20" customWidth="1" style="128" min="4" max="5"/>
    <col width="16" customWidth="1" style="129" min="5" max="5"/>
    <col width="54.98" customWidth="1" style="128" min="6" max="6"/>
  </cols>
  <sheetData>
    <row r="1" ht="34.5" customHeight="1" s="129">
      <c r="B1" s="130" t="inlineStr">
        <is>
          <t>Conta — Precificação, ROI e Payback Consolidados</t>
        </is>
      </c>
    </row>
    <row r="2" ht="19.5" customHeight="1" s="129">
      <c r="B2" s="131" t="inlineStr">
        <is>
          <t>Cálculo em tempo real | Resultados só aparecem quando todas as equipes ativas estão completas</t>
        </is>
      </c>
    </row>
    <row r="3" ht="18" customHeight="1" s="129">
      <c r="B3" s="131" t="inlineStr">
        <is>
          <t>Precificação escalonada com piso, decomposição de valor, série de 12 meses, verificação de realismo e alerta de contrato.</t>
        </is>
      </c>
    </row>
    <row r="4" ht="4.5" customHeight="1" s="129">
      <c r="B4" s="156" t="n"/>
    </row>
    <row r="6" ht="27.75" customHeight="1" s="129">
      <c r="B6" s="133" t="inlineStr">
        <is>
          <t xml:space="preserve">  CONFIGURAÇÃO E STATUS</t>
        </is>
      </c>
    </row>
    <row r="7" ht="19.5" customHeight="1" s="129">
      <c r="B7" s="158" t="inlineStr">
        <is>
          <t>Contrato</t>
        </is>
      </c>
      <c r="C7" s="226">
        <f>Equipes!$C8</f>
        <v/>
      </c>
      <c r="D7" s="160" t="n"/>
      <c r="E7" s="160" t="n"/>
      <c r="F7" s="160" t="n"/>
    </row>
    <row r="8" ht="19.5" customHeight="1" s="129">
      <c r="B8" s="158" t="inlineStr">
        <is>
          <t>Meses</t>
        </is>
      </c>
      <c r="C8" s="162">
        <f>IFERROR(INDEX(Premissas!$C$49:$C$52,MATCH(Equipes!$C8,Premissas!$B$49:$B$52,0)),"")</f>
        <v/>
      </c>
      <c r="D8" s="160" t="n"/>
      <c r="E8" s="160" t="n"/>
      <c r="F8" s="160" t="n"/>
    </row>
    <row r="9" ht="19.5" customHeight="1" s="129">
      <c r="B9" s="158" t="inlineStr">
        <is>
          <t>Desconto</t>
        </is>
      </c>
      <c r="C9" s="164">
        <f>IFERROR(INDEX(Premissas!$D$49:$D$52,MATCH(Equipes!$C8,Premissas!$B$49:$B$52,0)),0)</f>
        <v/>
      </c>
      <c r="D9" s="160" t="n"/>
      <c r="E9" s="160" t="n"/>
      <c r="F9" s="160" t="n"/>
    </row>
    <row r="10" ht="19.5" customHeight="1" s="129">
      <c r="B10" s="158" t="inlineStr">
        <is>
          <t>Cenário</t>
        </is>
      </c>
      <c r="C10" s="226">
        <f>Equipes!$C7</f>
        <v/>
      </c>
      <c r="D10" s="160" t="n"/>
      <c r="E10" s="160" t="n"/>
      <c r="F10" s="160" t="n"/>
    </row>
    <row r="11" ht="19.5" customHeight="1" s="129">
      <c r="B11" s="158" t="inlineStr">
        <is>
          <t>Equipes ativas</t>
        </is>
      </c>
      <c r="C11" s="162">
        <f>COUNTIF(Motor!C7:L7,TRUE())</f>
        <v/>
      </c>
      <c r="D11" s="160" t="n"/>
      <c r="E11" s="160" t="n"/>
      <c r="F11" s="160" t="n"/>
    </row>
    <row r="12" ht="19.5" customHeight="1" s="129">
      <c r="B12" s="158" t="inlineStr">
        <is>
          <t>Equipes completas</t>
        </is>
      </c>
      <c r="C12" s="162">
        <f>COUNTIF(Motor!C15:L15,TRUE())</f>
        <v/>
      </c>
      <c r="D12" s="160" t="n"/>
      <c r="E12" s="160" t="n"/>
      <c r="F12" s="160" t="n"/>
    </row>
    <row r="13" ht="19.5" customHeight="1" s="129">
      <c r="B13" s="158" t="inlineStr">
        <is>
          <t>Horas da conta (h/mês)</t>
        </is>
      </c>
      <c r="C13" s="227">
        <f>SUM(Motor!C20:L20)</f>
        <v/>
      </c>
      <c r="D13" s="160" t="n"/>
      <c r="E13" s="160" t="n"/>
      <c r="F13" s="160" t="n"/>
    </row>
    <row r="14" ht="19.5" customHeight="1" s="129">
      <c r="B14" s="158" t="inlineStr">
        <is>
          <t>Conta completa?</t>
        </is>
      </c>
      <c r="C14" s="190">
        <f>AND($C$11&gt;0,$C$11=$C$12)</f>
        <v/>
      </c>
      <c r="D14" s="160" t="n"/>
      <c r="E14" s="160" t="n"/>
      <c r="F14" s="160" t="n"/>
    </row>
    <row r="16" ht="27.75" customHeight="1" s="129">
      <c r="B16" s="133" t="inlineStr">
        <is>
          <t xml:space="preserve">  DETALHAMENTO DA PRECIFICAÇÃO ESCADONADA</t>
        </is>
      </c>
    </row>
    <row r="17" ht="19.5" customHeight="1" s="129">
      <c r="B17" s="158" t="inlineStr">
        <is>
          <t>Tier 1 (até 262h)</t>
        </is>
      </c>
      <c r="C17" s="191">
        <f>MIN($C$13,Premissas!$C$30)</f>
        <v/>
      </c>
      <c r="D17" s="228">
        <f>Premissas!$E$30</f>
        <v/>
      </c>
      <c r="E17" s="192">
        <f>C17*D17</f>
        <v/>
      </c>
      <c r="F17" s="160" t="n"/>
    </row>
    <row r="18" ht="19.5" customHeight="1" s="129">
      <c r="B18" s="158" t="inlineStr">
        <is>
          <t>Tier 2 (263-573h)</t>
        </is>
      </c>
      <c r="C18" s="191">
        <f>MAX(0,MIN($C$13,Premissas!$C$31)-Premissas!$C$30)</f>
        <v/>
      </c>
      <c r="D18" s="228">
        <f>Premissas!$E$31</f>
        <v/>
      </c>
      <c r="E18" s="192">
        <f>C18*D18</f>
        <v/>
      </c>
      <c r="F18" s="160" t="n"/>
    </row>
    <row r="19" ht="19.5" customHeight="1" s="129">
      <c r="B19" s="158" t="inlineStr">
        <is>
          <t>Tier 3 (574-1243h)</t>
        </is>
      </c>
      <c r="C19" s="191">
        <f>MAX(0,MIN($C$13,Premissas!$C$32)-Premissas!$C$31)</f>
        <v/>
      </c>
      <c r="D19" s="228">
        <f>Premissas!$E$32</f>
        <v/>
      </c>
      <c r="E19" s="192">
        <f>C19*D19</f>
        <v/>
      </c>
      <c r="F19" s="160" t="n"/>
    </row>
    <row r="20" ht="19.5" customHeight="1" s="129">
      <c r="B20" s="158" t="inlineStr">
        <is>
          <t>Tier 4 (1244h+)</t>
        </is>
      </c>
      <c r="C20" s="191">
        <f>MAX(0,$C$13-Premissas!$C$32)</f>
        <v/>
      </c>
      <c r="D20" s="228">
        <f>Premissas!$E$33</f>
        <v/>
      </c>
      <c r="E20" s="192">
        <f>C20*D20</f>
        <v/>
      </c>
      <c r="F20" s="160" t="n"/>
    </row>
    <row r="21" ht="19.5" customHeight="1" s="129">
      <c r="B21" s="229" t="inlineStr">
        <is>
          <t>Preço bruto (mês)</t>
        </is>
      </c>
      <c r="C21" s="230">
        <f>SUM(E17:E20)</f>
        <v/>
      </c>
      <c r="D21" s="231" t="n"/>
      <c r="E21" s="231" t="n"/>
      <c r="F21" s="231" t="n"/>
    </row>
    <row r="22" ht="30" customHeight="1" s="129">
      <c r="B22" s="232" t="inlineStr">
        <is>
          <t>MENSALIDADE (com piso)</t>
        </is>
      </c>
      <c r="C22" s="233">
        <f>IF($C$14,MAX($C$21*(1-$C$9),Premissas!$C$21),"")</f>
        <v/>
      </c>
      <c r="D22" s="231" t="n"/>
      <c r="E22" s="231" t="n"/>
      <c r="F22" s="231" t="n"/>
    </row>
    <row r="23" ht="19.5" customHeight="1" s="129">
      <c r="B23" s="158" t="inlineStr">
        <is>
          <t>Piso ativo? (R$13.000)</t>
        </is>
      </c>
      <c r="C23" s="190">
        <f>IF($C$14,$C$21*(1-$C$9)&lt;Premissas!$C$21,FALSE())</f>
        <v/>
      </c>
      <c r="D23" s="160" t="n"/>
      <c r="E23" s="160" t="n"/>
      <c r="F23" s="160" t="n"/>
    </row>
    <row r="24" ht="19.5" customHeight="1" s="129">
      <c r="B24" s="158" t="inlineStr">
        <is>
          <t>Taxa efetiva (R$/h)</t>
        </is>
      </c>
      <c r="C24" s="194">
        <f>IF(AND(ISNUMBER($C$22),$C$13&gt;0),$C$22/$C$13,"")</f>
        <v/>
      </c>
      <c r="D24" s="160" t="n"/>
      <c r="E24" s="160" t="n"/>
      <c r="F24" s="160" t="n"/>
    </row>
    <row r="25" ht="19.5" customHeight="1" s="129">
      <c r="B25" s="158" t="inlineStr">
        <is>
          <t>Tier marginal (R$/h)</t>
        </is>
      </c>
      <c r="C25" s="192">
        <f>IF($C$13&gt;Premissas!$C$32,Premissas!$E$33,IF($C$13&gt;Premissas!$C$31,Premissas!$E$32,IF($C$13&gt;Premissas!$C$30,Premissas!$E$31,Premissas!$E$30)))</f>
        <v/>
      </c>
      <c r="D25" s="160" t="n"/>
      <c r="E25" s="160" t="n"/>
      <c r="F25" s="160" t="n"/>
    </row>
    <row r="26" ht="19.5" customHeight="1" s="129">
      <c r="B26" s="229" t="inlineStr">
        <is>
          <t>Investimento anual</t>
        </is>
      </c>
      <c r="C26" s="230">
        <f>IF(ISNUMBER($C$22),$C$22*12,"")</f>
        <v/>
      </c>
      <c r="D26" s="231" t="n"/>
      <c r="E26" s="231" t="n"/>
      <c r="F26" s="231" t="n"/>
    </row>
    <row r="28" ht="27.75" customHeight="1" s="129">
      <c r="B28" s="234" t="inlineStr">
        <is>
          <t xml:space="preserve">  RESULTADO CONSOLIDADO</t>
        </is>
      </c>
      <c r="C28" s="235" t="n"/>
      <c r="D28" s="235" t="n"/>
      <c r="E28" s="235" t="n"/>
      <c r="F28" s="236" t="n"/>
    </row>
    <row r="29" ht="30" customHeight="1" s="129">
      <c r="B29" s="237" t="inlineStr">
        <is>
          <t>VALOR ANUAL DA CONTA</t>
        </is>
      </c>
      <c r="C29" s="238">
        <f>IF($C$14,SUM(Motor!C72:L72),"")</f>
        <v/>
      </c>
      <c r="D29" s="239" t="n"/>
      <c r="E29" s="239" t="n"/>
      <c r="F29" s="239" t="n"/>
    </row>
    <row r="30" ht="30" customHeight="1" s="129">
      <c r="B30" s="240" t="inlineStr">
        <is>
          <t>ROI CONSOLIDADO</t>
        </is>
      </c>
      <c r="C30" s="235" t="n"/>
      <c r="D30" s="235" t="n"/>
      <c r="E30" s="235" t="n"/>
      <c r="F30" s="236" t="n"/>
    </row>
    <row r="31" ht="30" customHeight="1" s="129">
      <c r="B31" s="240" t="inlineStr">
        <is>
          <t>PAYBACK (meses)</t>
        </is>
      </c>
      <c r="C31" s="235" t="n"/>
      <c r="D31" s="235" t="n"/>
      <c r="E31" s="235" t="n"/>
      <c r="F31" s="236" t="n"/>
    </row>
    <row r="32" ht="19.5" customHeight="1" s="129">
      <c r="B32" s="241" t="inlineStr">
        <is>
          <t>Payback excede contrato?</t>
        </is>
      </c>
      <c r="C32" s="242">
        <f>IF(ISNUMBER($C$31),$C$31&gt;$C$8,FALSE())</f>
        <v/>
      </c>
      <c r="D32" s="243" t="n"/>
      <c r="E32" s="244" t="inlineStr">
        <is>
          <t>Auditoria A-01: payback usa investimento anualizado; contratos curtos podem mostrar payback &gt; duração do contrato</t>
        </is>
      </c>
      <c r="F32" s="243" t="n"/>
    </row>
    <row r="34" ht="27.75" customHeight="1" s="129">
      <c r="B34" s="133" t="inlineStr">
        <is>
          <t xml:space="preserve">  DECOMPOSIÇÃO DE VALOR</t>
        </is>
      </c>
    </row>
    <row r="35" ht="19.5" customHeight="1" s="129">
      <c r="B35" s="158" t="inlineStr">
        <is>
          <t>Eficiência (ano)</t>
        </is>
      </c>
      <c r="C35" s="192">
        <f>IF($C$14,SUM(Motor!C41:L41),"")</f>
        <v/>
      </c>
      <c r="D35" s="160" t="n"/>
      <c r="E35" s="160" t="n"/>
      <c r="F35" s="160" t="n"/>
    </row>
    <row r="36" ht="19.5" customHeight="1" s="129">
      <c r="B36" s="158" t="inlineStr">
        <is>
          <t>Ganho de ticket (ano)</t>
        </is>
      </c>
      <c r="C36" s="192">
        <f>IF($C$14,SUM(Motor!C60:L60),"")</f>
        <v/>
      </c>
      <c r="D36" s="160" t="n"/>
      <c r="E36" s="160" t="n"/>
      <c r="F36" s="160" t="n"/>
    </row>
    <row r="37" ht="19.5" customHeight="1" s="129">
      <c r="B37" s="158" t="inlineStr">
        <is>
          <t>Margem de rampa (ano)</t>
        </is>
      </c>
      <c r="C37" s="192">
        <f>IF($C$14,SUM(Motor!C61:L61),"")</f>
        <v/>
      </c>
      <c r="D37" s="160" t="n"/>
      <c r="E37" s="160" t="n"/>
      <c r="F37" s="160" t="n"/>
    </row>
    <row r="38" ht="19.5" customHeight="1" s="129">
      <c r="B38" s="158" t="inlineStr">
        <is>
          <t>Ganho de conversão (ano)</t>
        </is>
      </c>
      <c r="C38" s="192">
        <f>IF($C$14,SUM(Motor!C62:L62),"")</f>
        <v/>
      </c>
      <c r="D38" s="160" t="n"/>
      <c r="E38" s="160" t="n"/>
      <c r="F38" s="160" t="n"/>
    </row>
    <row r="39" ht="19.5" customHeight="1" s="129">
      <c r="B39" s="158" t="inlineStr">
        <is>
          <t>Ganho de ciclo (ano)</t>
        </is>
      </c>
      <c r="C39" s="192">
        <f>IF($C$14,SUM(Motor!C68:L68),"")</f>
        <v/>
      </c>
      <c r="D39" s="160" t="n"/>
      <c r="E39" s="160" t="n"/>
      <c r="F39" s="160" t="n"/>
    </row>
    <row r="40" ht="19.5" customHeight="1" s="129">
      <c r="B40" s="229" t="inlineStr">
        <is>
          <t>Verificação: soma = valor anual</t>
        </is>
      </c>
      <c r="C40" s="245">
        <f>IF($C$14,IF(ABS(SUM(C35:C39)-$C$29)&lt;0.01,"OK","ERROR"),"")</f>
        <v/>
      </c>
      <c r="D40" s="231" t="n"/>
      <c r="E40" s="231" t="n"/>
      <c r="F40" s="231" t="n"/>
    </row>
    <row r="42" ht="27.75" customHeight="1" s="129">
      <c r="B42" s="133" t="inlineStr">
        <is>
          <t xml:space="preserve">  OPERAÇÕES CONSOLIDADAS</t>
        </is>
      </c>
    </row>
    <row r="43" ht="19.5" customHeight="1" s="129">
      <c r="B43" s="158" t="inlineStr">
        <is>
          <t>Total de vendedores</t>
        </is>
      </c>
      <c r="C43" s="193">
        <f>IF($C$14,SUM(Equipes!C21:L21),"")</f>
        <v/>
      </c>
      <c r="D43" s="160" t="n"/>
      <c r="E43" s="160" t="n"/>
      <c r="F43" s="160" t="n"/>
    </row>
    <row r="44" ht="19.5" customHeight="1" s="129">
      <c r="B44" s="158" t="inlineStr">
        <is>
          <t>Total de assentos efetivos</t>
        </is>
      </c>
      <c r="C44" s="193">
        <f>IF($C$14,SUM(Motor!C19:L19),"")</f>
        <v/>
      </c>
      <c r="D44" s="160" t="n"/>
      <c r="E44" s="160" t="n"/>
      <c r="F44" s="160" t="n"/>
    </row>
    <row r="45" ht="19.5" customHeight="1" s="129">
      <c r="B45" s="158" t="inlineStr">
        <is>
          <t>Cobertura da conta</t>
        </is>
      </c>
      <c r="C45" s="171">
        <f>IF($C$14,MIN(1,$C$44/$C$43),"")</f>
        <v/>
      </c>
      <c r="D45" s="160" t="n"/>
      <c r="E45" s="160" t="n"/>
      <c r="F45" s="160" t="n"/>
    </row>
    <row r="46" ht="19.5" customHeight="1" s="129">
      <c r="B46" s="158" t="inlineStr">
        <is>
          <t>Preço médio por assento (mês)</t>
        </is>
      </c>
      <c r="C46" s="192">
        <f>IF(AND(ISNUMBER($C$22),N($C$44)&gt;0),$C$22/$C$44,"")</f>
        <v/>
      </c>
      <c r="D46" s="160" t="n"/>
      <c r="E46" s="160" t="n"/>
      <c r="F46" s="160" t="n"/>
    </row>
    <row r="47" ht="19.5" customHeight="1" s="129">
      <c r="B47" s="158" t="inlineStr">
        <is>
          <t>Investimento médio por vendedor/dia</t>
        </is>
      </c>
      <c r="C47" s="194">
        <f>IF(ISNUMBER(C46),C46/Premissas!$C$19,"")</f>
        <v/>
      </c>
      <c r="D47" s="160" t="n"/>
      <c r="E47" s="160" t="n"/>
      <c r="F47" s="160" t="n"/>
    </row>
    <row r="48" ht="19.5" customHeight="1" s="129">
      <c r="B48" s="158" t="inlineStr">
        <is>
          <t>Retorno médio por assento/dia</t>
        </is>
      </c>
      <c r="C48" s="194">
        <f>IF(AND(ISNUMBER($C$29),N($C$44)&gt;0),$C$29/$C$44/Premissas!$C$20,"")</f>
        <v/>
      </c>
      <c r="D48" s="160" t="n"/>
      <c r="E48" s="160" t="n"/>
      <c r="F48" s="160" t="n"/>
    </row>
    <row r="50" ht="27.75" customHeight="1" s="129">
      <c r="B50" s="246" t="inlineStr">
        <is>
          <t xml:space="preserve">  VERIFICAÇÃO DE REALISMO</t>
        </is>
      </c>
      <c r="C50" s="235" t="n"/>
      <c r="D50" s="235" t="n"/>
      <c r="E50" s="235" t="n"/>
      <c r="F50" s="235" t="n"/>
    </row>
    <row r="51" ht="19.5" customHeight="1" s="129">
      <c r="B51" s="241" t="inlineStr">
        <is>
          <t>Margem anual atual</t>
        </is>
      </c>
      <c r="C51" s="247">
        <f>IF($C$14,SUM(Motor!C74:L74),"")</f>
        <v/>
      </c>
      <c r="D51" s="243" t="n"/>
      <c r="E51" s="243" t="n"/>
      <c r="F51" s="160" t="n"/>
    </row>
    <row r="52" ht="19.5" customHeight="1" s="129">
      <c r="B52" s="240" t="inlineStr">
        <is>
          <t>G — ganhos de performance (ano)</t>
        </is>
      </c>
      <c r="C52" s="235" t="n"/>
      <c r="D52" s="235" t="n"/>
      <c r="E52" s="236" t="n"/>
    </row>
    <row r="53" ht="19.5" customHeight="1" s="129">
      <c r="B53" s="240" t="inlineStr">
        <is>
          <t>Verificação (G / margem anual)</t>
        </is>
      </c>
      <c r="C53" s="235" t="n"/>
      <c r="D53" s="235" t="n"/>
      <c r="E53" s="236" t="n"/>
    </row>
    <row r="54" ht="19.5" customHeight="1" s="129">
      <c r="B54" s="241" t="inlineStr">
        <is>
          <t>Alerta (&gt; 25%)?</t>
        </is>
      </c>
      <c r="C54" s="242">
        <f>IF(ISNUMBER($C$53),$C$53&gt;Premissas!$C$26,FALSE())</f>
        <v/>
      </c>
      <c r="D54" s="243" t="n"/>
      <c r="E54" s="244" t="inlineStr">
        <is>
          <t>Ganhos não devem exceder 25% da margem atual</t>
        </is>
      </c>
      <c r="F54" s="160" t="n"/>
    </row>
    <row r="55" ht="15" customHeight="1" s="129">
      <c r="B55" s="248" t="n"/>
      <c r="C55" s="248" t="n"/>
      <c r="D55" s="248" t="n"/>
      <c r="E55" s="248" t="n"/>
    </row>
    <row r="56" ht="27.75" customHeight="1" s="129">
      <c r="B56" s="133" t="inlineStr">
        <is>
          <t xml:space="preserve">  SÉRIE CUMULATIVA DE 12 MESES (distribuição linear; apenas apresentação)</t>
        </is>
      </c>
    </row>
    <row r="57" ht="24.75" customHeight="1" s="129">
      <c r="B57" s="157" t="inlineStr">
        <is>
          <t>Mês</t>
        </is>
      </c>
      <c r="C57" s="157" t="inlineStr">
        <is>
          <t>Valor Cumul.</t>
        </is>
      </c>
      <c r="D57" s="157" t="inlineStr">
        <is>
          <t>Invest. Cumul.</t>
        </is>
      </c>
      <c r="E57" s="157" t="inlineStr">
        <is>
          <t>Pago?</t>
        </is>
      </c>
      <c r="F57" s="157" t="n"/>
      <c r="G57" s="157" t="n"/>
    </row>
    <row r="58" ht="15" customHeight="1" s="129">
      <c r="B58" s="249" t="n">
        <v>0</v>
      </c>
      <c r="C58" s="192">
        <f>IF($C$14,$C$29/12*B58,"")</f>
        <v/>
      </c>
      <c r="D58" s="192">
        <f>IF($C$14,$C$22*B58,"")</f>
        <v/>
      </c>
      <c r="E58" s="190">
        <f>IF(ISNUMBER(C58),IF(C58&gt;=D58,"SIM","Ainda não"),"")</f>
        <v/>
      </c>
      <c r="F58" s="160" t="n"/>
    </row>
    <row r="59" ht="15" customHeight="1" s="129">
      <c r="B59" s="249" t="n">
        <v>1</v>
      </c>
      <c r="C59" s="192">
        <f>IF($C$14,$C$29/12*B59,"")</f>
        <v/>
      </c>
      <c r="D59" s="192">
        <f>IF($C$14,$C$22*B59,"")</f>
        <v/>
      </c>
      <c r="E59" s="190">
        <f>IF(ISNUMBER(C59),IF(C59&gt;=D59,"SIM","Ainda não"),"")</f>
        <v/>
      </c>
      <c r="F59" s="160" t="n"/>
    </row>
    <row r="60" ht="15" customHeight="1" s="129">
      <c r="B60" s="249" t="n">
        <v>2</v>
      </c>
      <c r="C60" s="192">
        <f>IF($C$14,$C$29/12*B60,"")</f>
        <v/>
      </c>
      <c r="D60" s="192">
        <f>IF($C$14,$C$22*B60,"")</f>
        <v/>
      </c>
      <c r="E60" s="190">
        <f>IF(ISNUMBER(C60),IF(C60&gt;=D60,"SIM","Ainda não"),"")</f>
        <v/>
      </c>
      <c r="F60" s="160" t="n"/>
    </row>
    <row r="61" ht="15" customHeight="1" s="129">
      <c r="B61" s="249" t="n">
        <v>3</v>
      </c>
      <c r="C61" s="192">
        <f>IF($C$14,$C$29/12*B61,"")</f>
        <v/>
      </c>
      <c r="D61" s="192">
        <f>IF($C$14,$C$22*B61,"")</f>
        <v/>
      </c>
      <c r="E61" s="190">
        <f>IF(ISNUMBER(C61),IF(C61&gt;=D61,"SIM","Ainda não"),"")</f>
        <v/>
      </c>
      <c r="F61" s="160" t="n"/>
    </row>
    <row r="62" ht="15" customHeight="1" s="129">
      <c r="B62" s="249" t="n">
        <v>4</v>
      </c>
      <c r="C62" s="192">
        <f>IF($C$14,$C$29/12*B62,"")</f>
        <v/>
      </c>
      <c r="D62" s="192">
        <f>IF($C$14,$C$22*B62,"")</f>
        <v/>
      </c>
      <c r="E62" s="190">
        <f>IF(ISNUMBER(C62),IF(C62&gt;=D62,"SIM","Ainda não"),"")</f>
        <v/>
      </c>
      <c r="F62" s="160" t="n"/>
    </row>
    <row r="63" ht="15" customHeight="1" s="129">
      <c r="B63" s="249" t="n">
        <v>5</v>
      </c>
      <c r="C63" s="192">
        <f>IF($C$14,$C$29/12*B63,"")</f>
        <v/>
      </c>
      <c r="D63" s="192">
        <f>IF($C$14,$C$22*B63,"")</f>
        <v/>
      </c>
      <c r="E63" s="190">
        <f>IF(ISNUMBER(C63),IF(C63&gt;=D63,"SIM","Ainda não"),"")</f>
        <v/>
      </c>
      <c r="F63" s="160" t="n"/>
    </row>
    <row r="64" ht="15" customHeight="1" s="129">
      <c r="B64" s="249" t="n">
        <v>6</v>
      </c>
      <c r="C64" s="192">
        <f>IF($C$14,$C$29/12*B64,"")</f>
        <v/>
      </c>
      <c r="D64" s="192">
        <f>IF($C$14,$C$22*B64,"")</f>
        <v/>
      </c>
      <c r="E64" s="190">
        <f>IF(ISNUMBER(C64),IF(C64&gt;=D64,"SIM","Ainda não"),"")</f>
        <v/>
      </c>
      <c r="F64" s="160" t="n"/>
    </row>
    <row r="65" ht="15" customHeight="1" s="129">
      <c r="B65" s="249" t="n">
        <v>7</v>
      </c>
      <c r="C65" s="192">
        <f>IF($C$14,$C$29/12*B65,"")</f>
        <v/>
      </c>
      <c r="D65" s="192">
        <f>IF($C$14,$C$22*B65,"")</f>
        <v/>
      </c>
      <c r="E65" s="190">
        <f>IF(ISNUMBER(C65),IF(C65&gt;=D65,"SIM","Ainda não"),"")</f>
        <v/>
      </c>
      <c r="F65" s="160" t="n"/>
    </row>
    <row r="66" ht="15" customHeight="1" s="129">
      <c r="B66" s="249" t="n">
        <v>8</v>
      </c>
      <c r="C66" s="192">
        <f>IF($C$14,$C$29/12*B66,"")</f>
        <v/>
      </c>
      <c r="D66" s="192">
        <f>IF($C$14,$C$22*B66,"")</f>
        <v/>
      </c>
      <c r="E66" s="190">
        <f>IF(ISNUMBER(C66),IF(C66&gt;=D66,"SIM","Ainda não"),"")</f>
        <v/>
      </c>
      <c r="F66" s="160" t="n"/>
    </row>
    <row r="67" ht="15" customHeight="1" s="129">
      <c r="B67" s="249" t="n">
        <v>9</v>
      </c>
      <c r="C67" s="192">
        <f>IF($C$14,$C$29/12*B67,"")</f>
        <v/>
      </c>
      <c r="D67" s="192">
        <f>IF($C$14,$C$22*B67,"")</f>
        <v/>
      </c>
      <c r="E67" s="190">
        <f>IF(ISNUMBER(C67),IF(C67&gt;=D67,"SIM","Ainda não"),"")</f>
        <v/>
      </c>
      <c r="F67" s="160" t="n"/>
    </row>
    <row r="68" ht="15" customHeight="1" s="129">
      <c r="B68" s="249" t="n">
        <v>10</v>
      </c>
      <c r="C68" s="192">
        <f>IF($C$14,$C$29/12*B68,"")</f>
        <v/>
      </c>
      <c r="D68" s="192">
        <f>IF($C$14,$C$22*B68,"")</f>
        <v/>
      </c>
      <c r="E68" s="190">
        <f>IF(ISNUMBER(C68),IF(C68&gt;=D68,"SIM","Ainda não"),"")</f>
        <v/>
      </c>
      <c r="F68" s="160" t="n"/>
    </row>
    <row r="69" ht="15" customHeight="1" s="129">
      <c r="B69" s="249" t="n">
        <v>11</v>
      </c>
      <c r="C69" s="192">
        <f>IF($C$14,$C$29/12*B69,"")</f>
        <v/>
      </c>
      <c r="D69" s="192">
        <f>IF($C$14,$C$22*B69,"")</f>
        <v/>
      </c>
      <c r="E69" s="190">
        <f>IF(ISNUMBER(C69),IF(C69&gt;=D69,"SIM","Ainda não"),"")</f>
        <v/>
      </c>
      <c r="F69" s="160" t="n"/>
    </row>
    <row r="70" ht="15" customHeight="1" s="129">
      <c r="B70" s="249" t="n">
        <v>12</v>
      </c>
      <c r="C70" s="192">
        <f>IF($C$14,$C$29/12*B70,"")</f>
        <v/>
      </c>
      <c r="D70" s="192">
        <f>IF($C$14,$C$22*B70,"")</f>
        <v/>
      </c>
      <c r="E70" s="190">
        <f>IF(ISNUMBER(C70),IF(C70&gt;=D70,"SIM","Ainda não"),"")</f>
        <v/>
      </c>
      <c r="F70" s="16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5">
    <mergeCell ref="B4:F4"/>
    <mergeCell ref="B30:F30"/>
    <mergeCell ref="B56:E56"/>
    <mergeCell ref="B6:F6"/>
    <mergeCell ref="B53:E53"/>
    <mergeCell ref="B2:F2"/>
    <mergeCell ref="B34:F34"/>
    <mergeCell ref="B28:F28"/>
    <mergeCell ref="B42:F42"/>
    <mergeCell ref="B3:F3"/>
    <mergeCell ref="B16:E16"/>
    <mergeCell ref="B52:E52"/>
    <mergeCell ref="B31:F31"/>
    <mergeCell ref="B1:F1"/>
    <mergeCell ref="B50:F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140625" defaultRowHeight="15" zeroHeight="0" outlineLevelRow="0"/>
  <cols>
    <col width="2.99" customWidth="1" style="128" min="1" max="1"/>
    <col width="37.98" customWidth="1" style="128" min="2" max="2"/>
    <col width="20" customWidth="1" style="128" min="3" max="6"/>
    <col width="16" customWidth="1" style="129" min="4" max="4"/>
    <col width="16" customWidth="1" style="129" min="5" max="5"/>
  </cols>
  <sheetData>
    <row r="1" ht="34.5" customHeight="1" s="129">
      <c r="B1" s="130" t="inlineStr">
        <is>
          <t>Comparação de Cenários — Conservador / Realista / Otimista</t>
        </is>
      </c>
    </row>
    <row r="2" ht="19.5" customHeight="1" s="129">
      <c r="B2" s="131" t="inlineStr">
        <is>
          <t>Todos os 3 cenários lado a lado | Baseado nos dados atuais das equipes</t>
        </is>
      </c>
    </row>
    <row r="3" ht="18" customHeight="1" s="129">
      <c r="B3" s="131" t="inlineStr">
        <is>
          <t>Mostra como ROI, payback e valor mudam entre cenários. Usa mesmos dados da equipe; apenas deltas mudam.</t>
        </is>
      </c>
    </row>
    <row r="4" ht="4.5" customHeight="1" s="129">
      <c r="B4" s="156" t="n"/>
    </row>
    <row r="6" ht="27.75" customHeight="1" s="129">
      <c r="B6" s="133" t="inlineStr">
        <is>
          <t xml:space="preserve">  PARÂMETROS DE CENÁRIO</t>
        </is>
      </c>
    </row>
    <row r="7" ht="24.75" customHeight="1" s="129">
      <c r="B7" s="250" t="inlineStr">
        <is>
          <t>Métrica</t>
        </is>
      </c>
      <c r="C7" s="250" t="inlineStr">
        <is>
          <t>Conservador</t>
        </is>
      </c>
      <c r="D7" s="250" t="inlineStr">
        <is>
          <t>Realista</t>
        </is>
      </c>
      <c r="E7" s="250" t="inlineStr">
        <is>
          <t>Otimista</t>
        </is>
      </c>
      <c r="F7" s="157" t="n"/>
    </row>
    <row r="8" ht="19.5" customHeight="1" s="129">
      <c r="B8" s="158" t="inlineStr">
        <is>
          <t>Delta ticket</t>
        </is>
      </c>
      <c r="C8" s="251">
        <f>Premissas!$C$43</f>
        <v/>
      </c>
      <c r="D8" s="251">
        <f>Premissas!$C$44</f>
        <v/>
      </c>
      <c r="E8" s="251">
        <f>Premissas!$C$45</f>
        <v/>
      </c>
      <c r="F8" s="160" t="n"/>
    </row>
    <row r="9" ht="19.5" customHeight="1" s="129">
      <c r="B9" s="158" t="inlineStr">
        <is>
          <t>Delta rampa</t>
        </is>
      </c>
      <c r="C9" s="251">
        <f>Premissas!$D$43</f>
        <v/>
      </c>
      <c r="D9" s="251">
        <f>Premissas!$D$44</f>
        <v/>
      </c>
      <c r="E9" s="251">
        <f>Premissas!$D$45</f>
        <v/>
      </c>
      <c r="F9" s="160" t="n"/>
    </row>
    <row r="10" ht="19.5" customHeight="1" s="129">
      <c r="B10" s="158" t="inlineStr">
        <is>
          <t>Delta ciclo</t>
        </is>
      </c>
      <c r="C10" s="251">
        <f>Premissas!$E$43</f>
        <v/>
      </c>
      <c r="D10" s="251">
        <f>Premissas!$E$44</f>
        <v/>
      </c>
      <c r="E10" s="251">
        <f>Premissas!$E$45</f>
        <v/>
      </c>
      <c r="F10" s="160" t="n"/>
    </row>
    <row r="11" ht="19.5" customHeight="1" s="129">
      <c r="B11" s="158" t="inlineStr">
        <is>
          <t>Delta conversão (p.p.)</t>
        </is>
      </c>
      <c r="C11" s="252">
        <f>Premissas!$F$43</f>
        <v/>
      </c>
      <c r="D11" s="252">
        <f>Premissas!$F$44</f>
        <v/>
      </c>
      <c r="E11" s="252">
        <f>Premissas!$F$45</f>
        <v/>
      </c>
      <c r="F11" s="160" t="n"/>
    </row>
    <row r="13" ht="27.75" customHeight="1" s="129">
      <c r="B13" s="133" t="inlineStr">
        <is>
          <t xml:space="preserve">  RESULTADOS DE CENÁRIO</t>
        </is>
      </c>
    </row>
    <row r="14" ht="24.75" customHeight="1" s="129">
      <c r="B14" s="250" t="inlineStr">
        <is>
          <t>Métrica</t>
        </is>
      </c>
      <c r="C14" s="250" t="inlineStr">
        <is>
          <t>Conservador</t>
        </is>
      </c>
      <c r="D14" s="250" t="inlineStr">
        <is>
          <t>Realista</t>
        </is>
      </c>
      <c r="E14" s="250" t="inlineStr">
        <is>
          <t>Otimista</t>
        </is>
      </c>
      <c r="F14" s="157" t="n"/>
    </row>
    <row r="15" ht="19.5" customHeight="1" s="129">
      <c r="B15" s="158" t="inlineStr">
        <is>
          <t>Eficiência (igual)</t>
        </is>
      </c>
      <c r="C15" s="192">
        <f>SUM(Motor!C41:L41)</f>
        <v/>
      </c>
      <c r="D15" s="192">
        <f>SUM(Motor!C41:L41)</f>
        <v/>
      </c>
      <c r="E15" s="192">
        <f>SUM(Motor!C41:L41)</f>
        <v/>
      </c>
      <c r="F15" s="160" t="n"/>
    </row>
    <row r="16" ht="19.5" customHeight="1" s="129">
      <c r="B16" s="158" t="inlineStr">
        <is>
          <t>Ganho de ticket</t>
        </is>
      </c>
      <c r="C16" s="192">
        <f>N(Equipes!C29)*Premissas!$C$43*12*N(Equipes!C32)*N(Motor!C34)+N(Equipes!D29)*Premissas!$C$43*12*N(Equipes!D32)*N(Motor!D34)+N(Equipes!E29)*Premissas!$C$43*12*N(Equipes!E32)*N(Motor!E34)+N(Equipes!F29)*Premissas!$C$43*12*N(Equipes!F32)*N(Motor!F34)+N(Equipes!G29)*Premissas!$C$43*12*N(Equipes!G32)*N(Motor!G34)+N(Equipes!H29)*Premissas!$C$43*12*N(Equipes!H32)*N(Motor!H34)+N(Equipes!I29)*Premissas!$C$43*12*N(Equipes!I32)*N(Motor!I34)+N(Equipes!J29)*Premissas!$C$43*12*N(Equipes!J32)*N(Motor!J34)+N(Equipes!K29)*Premissas!$C$43*12*N(Equipes!K32)*N(Motor!K34)+N(Equipes!L29)*Premissas!$C$43*12*N(Equipes!L32)*N(Motor!L34)</f>
        <v/>
      </c>
      <c r="D16" s="192">
        <f>N(Equipes!C29)*Premissas!$C$44*12*N(Equipes!C32)*N(Motor!C34)+N(Equipes!D29)*Premissas!$C$44*12*N(Equipes!D32)*N(Motor!D34)+N(Equipes!E29)*Premissas!$C$44*12*N(Equipes!E32)*N(Motor!E34)+N(Equipes!F29)*Premissas!$C$44*12*N(Equipes!F32)*N(Motor!F34)+N(Equipes!G29)*Premissas!$C$44*12*N(Equipes!G32)*N(Motor!G34)+N(Equipes!H29)*Premissas!$C$44*12*N(Equipes!H32)*N(Motor!H34)+N(Equipes!I29)*Premissas!$C$44*12*N(Equipes!I32)*N(Motor!I34)+N(Equipes!J29)*Premissas!$C$44*12*N(Equipes!J32)*N(Motor!J34)+N(Equipes!K29)*Premissas!$C$44*12*N(Equipes!K32)*N(Motor!K34)+N(Equipes!L29)*Premissas!$C$44*12*N(Equipes!L32)*N(Motor!L34)</f>
        <v/>
      </c>
      <c r="E16" s="192">
        <f>N(Equipes!C29)*Premissas!$C$45*12*N(Equipes!C32)*N(Motor!C34)+N(Equipes!D29)*Premissas!$C$45*12*N(Equipes!D32)*N(Motor!D34)+N(Equipes!E29)*Premissas!$C$45*12*N(Equipes!E32)*N(Motor!E34)+N(Equipes!F29)*Premissas!$C$45*12*N(Equipes!F32)*N(Motor!F34)+N(Equipes!G29)*Premissas!$C$45*12*N(Equipes!G32)*N(Motor!G34)+N(Equipes!H29)*Premissas!$C$45*12*N(Equipes!H32)*N(Motor!H34)+N(Equipes!I29)*Premissas!$C$45*12*N(Equipes!I32)*N(Motor!I34)+N(Equipes!J29)*Premissas!$C$45*12*N(Equipes!J32)*N(Motor!J34)+N(Equipes!K29)*Premissas!$C$45*12*N(Equipes!K32)*N(Motor!K34)+N(Equipes!L29)*Premissas!$C$45*12*N(Equipes!L32)*N(Motor!L34)</f>
        <v/>
      </c>
      <c r="F16" s="160" t="n"/>
    </row>
    <row r="17" ht="19.5" customHeight="1" s="129">
      <c r="B17" s="158" t="inlineStr">
        <is>
          <t>Margem de rampa</t>
        </is>
      </c>
      <c r="C17" s="192">
        <f>N(Equipes!C35)*Premissas!$D$43*N(Motor!C22)*N(Equipes!C36)*N(Equipes!C32)*Premissas!$C$12*N(Motor!C34)+N(Equipes!D35)*Premissas!$D$43*N(Motor!D22)*N(Equipes!D36)*N(Equipes!D32)*Premissas!$C$12*N(Motor!D34)+N(Equipes!E35)*Premissas!$D$43*N(Motor!E22)*N(Equipes!E36)*N(Equipes!E32)*Premissas!$C$12*N(Motor!E34)+N(Equipes!F35)*Premissas!$D$43*N(Motor!F22)*N(Equipes!F36)*N(Equipes!F32)*Premissas!$C$12*N(Motor!F34)+N(Equipes!G35)*Premissas!$D$43*N(Motor!G22)*N(Equipes!G36)*N(Equipes!G32)*Premissas!$C$12*N(Motor!G34)+N(Equipes!H35)*Premissas!$D$43*N(Motor!H22)*N(Equipes!H36)*N(Equipes!H32)*Premissas!$C$12*N(Motor!H34)+N(Equipes!I35)*Premissas!$D$43*N(Motor!I22)*N(Equipes!I36)*N(Equipes!I32)*Premissas!$C$12*N(Motor!I34)+N(Equipes!J35)*Premissas!$D$43*N(Motor!J22)*N(Equipes!J36)*N(Equipes!J32)*Premissas!$C$12*N(Motor!J34)+N(Equipes!K35)*Premissas!$D$43*N(Motor!K22)*N(Equipes!K36)*N(Equipes!K32)*Premissas!$C$12*N(Motor!K34)+N(Equipes!L35)*Premissas!$D$43*N(Motor!L22)*N(Equipes!L36)*N(Equipes!L32)*Premissas!$C$12*N(Motor!L34)</f>
        <v/>
      </c>
      <c r="D17" s="192">
        <f>N(Equipes!C35)*Premissas!$D$44*N(Motor!C22)*N(Equipes!C36)*N(Equipes!C32)*Premissas!$C$12*N(Motor!C34)+N(Equipes!D35)*Premissas!$D$44*N(Motor!D22)*N(Equipes!D36)*N(Equipes!D32)*Premissas!$C$12*N(Motor!D34)+N(Equipes!E35)*Premissas!$D$44*N(Motor!E22)*N(Equipes!E36)*N(Equipes!E32)*Premissas!$C$12*N(Motor!E34)+N(Equipes!F35)*Premissas!$D$44*N(Motor!F22)*N(Equipes!F36)*N(Equipes!F32)*Premissas!$C$12*N(Motor!F34)+N(Equipes!G35)*Premissas!$D$44*N(Motor!G22)*N(Equipes!G36)*N(Equipes!G32)*Premissas!$C$12*N(Motor!G34)+N(Equipes!H35)*Premissas!$D$44*N(Motor!H22)*N(Equipes!H36)*N(Equipes!H32)*Premissas!$C$12*N(Motor!H34)+N(Equipes!I35)*Premissas!$D$44*N(Motor!I22)*N(Equipes!I36)*N(Equipes!I32)*Premissas!$C$12*N(Motor!I34)+N(Equipes!J35)*Premissas!$D$44*N(Motor!J22)*N(Equipes!J36)*N(Equipes!J32)*Premissas!$C$12*N(Motor!J34)+N(Equipes!K35)*Premissas!$D$44*N(Motor!K22)*N(Equipes!K36)*N(Equipes!K32)*Premissas!$C$12*N(Motor!K34)+N(Equipes!L35)*Premissas!$D$44*N(Motor!L22)*N(Equipes!L36)*N(Equipes!L32)*Premissas!$C$12*N(Motor!L34)</f>
        <v/>
      </c>
      <c r="E17" s="192">
        <f>N(Equipes!C35)*Premissas!$D$45*N(Motor!C22)*N(Equipes!C36)*N(Equipes!C32)*Premissas!$C$12*N(Motor!C34)+N(Equipes!D35)*Premissas!$D$45*N(Motor!D22)*N(Equipes!D36)*N(Equipes!D32)*Premissas!$C$12*N(Motor!D34)+N(Equipes!E35)*Premissas!$D$45*N(Motor!E22)*N(Equipes!E36)*N(Equipes!E32)*Premissas!$C$12*N(Motor!E34)+N(Equipes!F35)*Premissas!$D$45*N(Motor!F22)*N(Equipes!F36)*N(Equipes!F32)*Premissas!$C$12*N(Motor!F34)+N(Equipes!G35)*Premissas!$D$45*N(Motor!G22)*N(Equipes!G36)*N(Equipes!G32)*Premissas!$C$12*N(Motor!G34)+N(Equipes!H35)*Premissas!$D$45*N(Motor!H22)*N(Equipes!H36)*N(Equipes!H32)*Premissas!$C$12*N(Motor!H34)+N(Equipes!I35)*Premissas!$D$45*N(Motor!I22)*N(Equipes!I36)*N(Equipes!I32)*Premissas!$C$12*N(Motor!I34)+N(Equipes!J35)*Premissas!$D$45*N(Motor!J22)*N(Equipes!J36)*N(Equipes!J32)*Premissas!$C$12*N(Motor!J34)+N(Equipes!K35)*Premissas!$D$45*N(Motor!K22)*N(Equipes!K36)*N(Equipes!K32)*Premissas!$C$12*N(Motor!K34)+N(Equipes!L35)*Premissas!$D$45*N(Motor!L22)*N(Equipes!L36)*N(Equipes!L32)*Premissas!$C$12*N(Motor!L34)</f>
        <v/>
      </c>
      <c r="F17" s="160" t="n"/>
    </row>
    <row r="18" ht="19.5" customHeight="1" s="129">
      <c r="B18" s="158" t="inlineStr">
        <is>
          <t>Ganho de conversão</t>
        </is>
      </c>
      <c r="C18" s="192">
        <f>IFERROR((N(Equipes!C29)/N(Equipes!C30))/N(Motor!C47)*Premissas!$F$43/100*N(Equipes!C30)*N(Equipes!C32)*12*Premissas!$C$14*N(Motor!C34),0)+IFERROR((N(Equipes!D29)/N(Equipes!D30))/N(Motor!D47)*Premissas!$F$43/100*N(Equipes!D30)*N(Equipes!D32)*12*Premissas!$C$14*N(Motor!D34),0)+IFERROR((N(Equipes!E29)/N(Equipes!E30))/N(Motor!E47)*Premissas!$F$43/100*N(Equipes!E30)*N(Equipes!E32)*12*Premissas!$C$14*N(Motor!E34),0)+IFERROR((N(Equipes!F29)/N(Equipes!F30))/N(Motor!F47)*Premissas!$F$43/100*N(Equipes!F30)*N(Equipes!F32)*12*Premissas!$C$14*N(Motor!F34),0)+IFERROR((N(Equipes!G29)/N(Equipes!G30))/N(Motor!G47)*Premissas!$F$43/100*N(Equipes!G30)*N(Equipes!G32)*12*Premissas!$C$14*N(Motor!G34),0)+IFERROR((N(Equipes!H29)/N(Equipes!H30))/N(Motor!H47)*Premissas!$F$43/100*N(Equipes!H30)*N(Equipes!H32)*12*Premissas!$C$14*N(Motor!H34),0)+IFERROR((N(Equipes!I29)/N(Equipes!I30))/N(Motor!I47)*Premissas!$F$43/100*N(Equipes!I30)*N(Equipes!I32)*12*Premissas!$C$14*N(Motor!I34),0)+IFERROR((N(Equipes!J29)/N(Equipes!J30))/N(Motor!J47)*Premissas!$F$43/100*N(Equipes!J30)*N(Equipes!J32)*12*Premissas!$C$14*N(Motor!J34),0)+IFERROR((N(Equipes!K29)/N(Equipes!K30))/N(Motor!K47)*Premissas!$F$43/100*N(Equipes!K30)*N(Equipes!K32)*12*Premissas!$C$14*N(Motor!K34),0)+IFERROR((N(Equipes!L29)/N(Equipes!L30))/N(Motor!L47)*Premissas!$F$43/100*N(Equipes!L30)*N(Equipes!L32)*12*Premissas!$C$14*N(Motor!L34),0)</f>
        <v/>
      </c>
      <c r="D18" s="192">
        <f>IFERROR((N(Equipes!C29)/N(Equipes!C30))/N(Motor!C47)*Premissas!$F$44/100*N(Equipes!C30)*N(Equipes!C32)*12*Premissas!$C$14*N(Motor!C34),0)+IFERROR((N(Equipes!D29)/N(Equipes!D30))/N(Motor!D47)*Premissas!$F$44/100*N(Equipes!D30)*N(Equipes!D32)*12*Premissas!$C$14*N(Motor!D34),0)+IFERROR((N(Equipes!E29)/N(Equipes!E30))/N(Motor!E47)*Premissas!$F$44/100*N(Equipes!E30)*N(Equipes!E32)*12*Premissas!$C$14*N(Motor!E34),0)+IFERROR((N(Equipes!F29)/N(Equipes!F30))/N(Motor!F47)*Premissas!$F$44/100*N(Equipes!F30)*N(Equipes!F32)*12*Premissas!$C$14*N(Motor!F34),0)+IFERROR((N(Equipes!G29)/N(Equipes!G30))/N(Motor!G47)*Premissas!$F$44/100*N(Equipes!G30)*N(Equipes!G32)*12*Premissas!$C$14*N(Motor!G34),0)+IFERROR((N(Equipes!H29)/N(Equipes!H30))/N(Motor!H47)*Premissas!$F$44/100*N(Equipes!H30)*N(Equipes!H32)*12*Premissas!$C$14*N(Motor!H34),0)+IFERROR((N(Equipes!I29)/N(Equipes!I30))/N(Motor!I47)*Premissas!$F$44/100*N(Equipes!I30)*N(Equipes!I32)*12*Premissas!$C$14*N(Motor!I34),0)+IFERROR((N(Equipes!J29)/N(Equipes!J30))/N(Motor!J47)*Premissas!$F$44/100*N(Equipes!J30)*N(Equipes!J32)*12*Premissas!$C$14*N(Motor!J34),0)+IFERROR((N(Equipes!K29)/N(Equipes!K30))/N(Motor!K47)*Premissas!$F$44/100*N(Equipes!K30)*N(Equipes!K32)*12*Premissas!$C$14*N(Motor!K34),0)+IFERROR((N(Equipes!L29)/N(Equipes!L30))/N(Motor!L47)*Premissas!$F$44/100*N(Equipes!L30)*N(Equipes!L32)*12*Premissas!$C$14*N(Motor!L34),0)</f>
        <v/>
      </c>
      <c r="E18" s="192">
        <f>IFERROR((N(Equipes!C29)/N(Equipes!C30))/N(Motor!C47)*Premissas!$F$45/100*N(Equipes!C30)*N(Equipes!C32)*12*Premissas!$C$14*N(Motor!C34),0)+IFERROR((N(Equipes!D29)/N(Equipes!D30))/N(Motor!D47)*Premissas!$F$45/100*N(Equipes!D30)*N(Equipes!D32)*12*Premissas!$C$14*N(Motor!D34),0)+IFERROR((N(Equipes!E29)/N(Equipes!E30))/N(Motor!E47)*Premissas!$F$45/100*N(Equipes!E30)*N(Equipes!E32)*12*Premissas!$C$14*N(Motor!E34),0)+IFERROR((N(Equipes!F29)/N(Equipes!F30))/N(Motor!F47)*Premissas!$F$45/100*N(Equipes!F30)*N(Equipes!F32)*12*Premissas!$C$14*N(Motor!F34),0)+IFERROR((N(Equipes!G29)/N(Equipes!G30))/N(Motor!G47)*Premissas!$F$45/100*N(Equipes!G30)*N(Equipes!G32)*12*Premissas!$C$14*N(Motor!G34),0)+IFERROR((N(Equipes!H29)/N(Equipes!H30))/N(Motor!H47)*Premissas!$F$45/100*N(Equipes!H30)*N(Equipes!H32)*12*Premissas!$C$14*N(Motor!H34),0)+IFERROR((N(Equipes!I29)/N(Equipes!I30))/N(Motor!I47)*Premissas!$F$45/100*N(Equipes!I30)*N(Equipes!I32)*12*Premissas!$C$14*N(Motor!I34),0)+IFERROR((N(Equipes!J29)/N(Equipes!J30))/N(Motor!J47)*Premissas!$F$45/100*N(Equipes!J30)*N(Equipes!J32)*12*Premissas!$C$14*N(Motor!J34),0)+IFERROR((N(Equipes!K29)/N(Equipes!K30))/N(Motor!K47)*Premissas!$F$45/100*N(Equipes!K30)*N(Equipes!K32)*12*Premissas!$C$14*N(Motor!K34),0)+IFERROR((N(Equipes!L29)/N(Equipes!L30))/N(Motor!L47)*Premissas!$F$45/100*N(Equipes!L30)*N(Equipes!L32)*12*Premissas!$C$14*N(Motor!L34),0)</f>
        <v/>
      </c>
      <c r="F18" s="160" t="n"/>
    </row>
    <row r="19" ht="19.5" customHeight="1" s="129">
      <c r="B19" s="158" t="inlineStr">
        <is>
          <t>Ganho de ciclo</t>
        </is>
      </c>
      <c r="C19" s="192">
        <f>SUM(Motor!C68:L68)</f>
        <v/>
      </c>
      <c r="D19" s="192">
        <f>IF(Motor!C15,IF(AND(N(Motor!C52)&gt;0,N(Equipes!C46)&gt;0),MIN(IF(AND(D10&gt;0,D10&lt;1),(Equipes!C29/Equipes!C30)*(1/(1-D10)-1),0),MAX(0,Equipes!C46-(Equipes!C29/Equipes!C30)/Motor!C47)*Motor!C47)*Equipes!C30*Equipes!C32*12*Premissas!$C$13*Motor!C34,0),"")</f>
        <v/>
      </c>
      <c r="E19" s="192">
        <f>IF(Motor!C15,IF(AND(N(Motor!C52)&gt;0,N(Equipes!C46)&gt;0),MIN(IF(AND(E10&gt;0,E10&lt;1),(Equipes!C29/Equipes!C30)*(1/(1-E10)-1),0),MAX(0,Equipes!C46-(Equipes!C29/Equipes!C30)/Motor!C47)*Motor!C47)*Equipes!C30*Equipes!C32*12*Premissas!$C$13*Motor!C34,0),"")</f>
        <v/>
      </c>
      <c r="F19" s="160" t="n"/>
    </row>
    <row r="20" ht="19.5" customHeight="1" s="129">
      <c r="B20" s="253" t="inlineStr">
        <is>
          <t>VALOR ANUAL TOTAL</t>
        </is>
      </c>
      <c r="C20" s="230">
        <f>SUM(C15:C19)</f>
        <v/>
      </c>
      <c r="D20" s="230">
        <f>SUM(D15:D19)</f>
        <v/>
      </c>
      <c r="E20" s="230">
        <f>SUM(E15:E19)</f>
        <v/>
      </c>
      <c r="F20" s="160" t="n"/>
    </row>
    <row r="21" ht="19.5" customHeight="1" s="129">
      <c r="B21" s="158" t="inlineStr">
        <is>
          <t>Mensalidade</t>
        </is>
      </c>
      <c r="C21" s="228">
        <f>Conta!$C$22</f>
        <v/>
      </c>
      <c r="D21" s="228">
        <f>Conta!$C$22</f>
        <v/>
      </c>
      <c r="E21" s="228">
        <f>Conta!$C$22</f>
        <v/>
      </c>
      <c r="F21" s="160" t="n"/>
    </row>
    <row r="22" ht="19.5" customHeight="1" s="129">
      <c r="B22" s="158" t="inlineStr">
        <is>
          <t>Investimento anual</t>
        </is>
      </c>
      <c r="C22" s="228">
        <f>Conta!$C$26</f>
        <v/>
      </c>
      <c r="D22" s="228">
        <f>Conta!$C$26</f>
        <v/>
      </c>
      <c r="E22" s="228">
        <f>Conta!$C$26</f>
        <v/>
      </c>
      <c r="F22" s="160" t="n"/>
    </row>
    <row r="23" ht="27.75" customHeight="1" s="129">
      <c r="B23" s="254" t="inlineStr">
        <is>
          <t>ROI</t>
        </is>
      </c>
      <c r="C23" s="255">
        <f>IF(AND(ISNUMBER(C20),N(C22)&gt;0),C20/C22,"")</f>
        <v/>
      </c>
      <c r="D23" s="255">
        <f>IF(AND(ISNUMBER(D20),N(D22)&gt;0),D20/D22,"")</f>
        <v/>
      </c>
      <c r="E23" s="255">
        <f>IF(AND(ISNUMBER(E20),N(E22)&gt;0),E20/E22,"")</f>
        <v/>
      </c>
      <c r="F23" s="160" t="n"/>
    </row>
    <row r="24" ht="27.75" customHeight="1" s="129">
      <c r="B24" s="254" t="inlineStr">
        <is>
          <t>Payback (meses)</t>
        </is>
      </c>
      <c r="C24" s="256">
        <f>IF(AND(ISNUMBER(C22),N(C20)&gt;0),C22/C20*12,"")</f>
        <v/>
      </c>
      <c r="D24" s="256">
        <f>IF(AND(ISNUMBER(D22),N(D20)&gt;0),D22/D20*12,"")</f>
        <v/>
      </c>
      <c r="E24" s="256">
        <f>IF(AND(ISNUMBER(E22),N(E20)&gt;0),E22/E20*12,"")</f>
        <v/>
      </c>
      <c r="F24" s="16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6">
    <mergeCell ref="B1:E1"/>
    <mergeCell ref="B4:E4"/>
    <mergeCell ref="B13:E13"/>
    <mergeCell ref="B6:E6"/>
    <mergeCell ref="B3:E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2026-08-17T21:12:03Z</dcterms:created>
  <dcterms:modified xmlns:dcterms="http://purl.org/dc/terms/" xmlns:xsi="http://www.w3.org/2001/XMLSchema-instance" xsi:type="dcterms:W3CDTF">2026-08-20T17:26:04Z</dcterms:modified>
  <cp:revision>0</cp:revision>
</cp:coreProperties>
</file>